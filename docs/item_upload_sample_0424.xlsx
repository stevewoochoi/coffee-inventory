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nseong/Desktop/도쿄플라츠커피/도쿄플라츠커피 상품등록/"/>
    </mc:Choice>
  </mc:AlternateContent>
  <xr:revisionPtr revIDLastSave="0" documentId="13_ncr:1_{56C0F6AF-2DAD-BF44-A1E0-5826815FEC8F}" xr6:coauthVersionLast="47" xr6:coauthVersionMax="47" xr10:uidLastSave="{00000000-0000-0000-0000-000000000000}"/>
  <bookViews>
    <workbookView xWindow="1000" yWindow="600" windowWidth="27800" windowHeight="17400" xr2:uid="{00000000-000D-0000-FFFF-FFFF00000000}"/>
  </bookViews>
  <sheets>
    <sheet name="상품 일괄등록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</calcChain>
</file>

<file path=xl/sharedStrings.xml><?xml version="1.0" encoding="utf-8"?>
<sst xmlns="http://schemas.openxmlformats.org/spreadsheetml/2006/main" count="289" uniqueCount="135">
  <si>
    <t>상품명*</t>
  </si>
  <si>
    <t>English Name</t>
  </si>
  <si>
    <t>日本語名</t>
  </si>
  <si>
    <t>한국어명</t>
  </si>
  <si>
    <t>상품코드</t>
  </si>
  <si>
    <t>카테고리</t>
  </si>
  <si>
    <t>기본단위*</t>
  </si>
  <si>
    <t>규격</t>
  </si>
  <si>
    <t>단가</t>
  </si>
  <si>
    <t>부가세포함(Y/N)</t>
  </si>
  <si>
    <t>로스율(%)</t>
  </si>
  <si>
    <t>최소재고수량</t>
  </si>
  <si>
    <t>공급업체ID</t>
  </si>
  <si>
    <t>설명</t>
  </si>
  <si>
    <t>원두</t>
  </si>
  <si>
    <t>1kg</t>
  </si>
  <si>
    <t>EA</t>
  </si>
  <si>
    <t>카페발트 에스프레소 1kg</t>
  </si>
  <si>
    <t>Cafebalt Espresso 1kg</t>
  </si>
  <si>
    <t>カフェバルト エスプレッソ 1kg</t>
  </si>
  <si>
    <t>BEE0001</t>
  </si>
  <si>
    <t>다크 루스트히 1kg</t>
  </si>
  <si>
    <t>Dark Rusthy 1kg</t>
  </si>
  <si>
    <t>ダーク ルスティ 1kg</t>
  </si>
  <si>
    <t>BEE0002</t>
  </si>
  <si>
    <t>요거트 파우더 1kg</t>
  </si>
  <si>
    <t>Yogurt Powder 1kg</t>
  </si>
  <si>
    <t>ヨーグルトパウダー 1kg</t>
  </si>
  <si>
    <t>PWE0001</t>
  </si>
  <si>
    <t>파우더</t>
  </si>
  <si>
    <t>나타드 코코 1kg</t>
  </si>
  <si>
    <t>Nata de Coco 1kg</t>
  </si>
  <si>
    <t>ナタデココ 1kg</t>
  </si>
  <si>
    <t>TPE0001</t>
  </si>
  <si>
    <t>토핑</t>
  </si>
  <si>
    <t>자몽청 1kg</t>
  </si>
  <si>
    <t>Grapefruit Cheong 1kg</t>
  </si>
  <si>
    <t>グレープフルーツチョン 1kg</t>
  </si>
  <si>
    <t>SYE0001</t>
  </si>
  <si>
    <t>시럽/베이스</t>
  </si>
  <si>
    <t>유자청 1kg</t>
  </si>
  <si>
    <t>Yuja Cheong 1kg</t>
  </si>
  <si>
    <t>ゆずチョン 1kg</t>
  </si>
  <si>
    <t>SYE0002</t>
  </si>
  <si>
    <t>배 베이스 1.2kg</t>
  </si>
  <si>
    <t>Pear Base 1.2kg</t>
  </si>
  <si>
    <t>梨ベース 1.2kg</t>
  </si>
  <si>
    <t>SYE0003</t>
  </si>
  <si>
    <t>1.2kg</t>
  </si>
  <si>
    <t>사과 베이스 1.95kg</t>
  </si>
  <si>
    <t>Apple Base 1.95kg</t>
  </si>
  <si>
    <t>アップルベース 1.95kg</t>
  </si>
  <si>
    <t>SYE0004</t>
  </si>
  <si>
    <t>1.95kg</t>
  </si>
  <si>
    <t>율무차 파우더 900g</t>
  </si>
  <si>
    <t>Job's Tears Tea Powder 900g</t>
  </si>
  <si>
    <t>ハトムギ茶パウダー 900g</t>
  </si>
  <si>
    <t>PWE0002</t>
  </si>
  <si>
    <t>900g</t>
  </si>
  <si>
    <t>카페발트 에스프레소 1kg/1box</t>
  </si>
  <si>
    <t>Cafebalt Espresso 1kg / BOX</t>
  </si>
  <si>
    <t>カフェバルト エスプレッソ 1kg/BOX</t>
  </si>
  <si>
    <t>BEB0001</t>
  </si>
  <si>
    <t>BOX</t>
  </si>
  <si>
    <t>1kg*10ea</t>
  </si>
  <si>
    <t>다크 루스트히 1kg/1box</t>
  </si>
  <si>
    <t>Dark Rusthy 1kg / BOX</t>
  </si>
  <si>
    <t>ダーク ルスティ 1kg/BOX</t>
  </si>
  <si>
    <t>BEB0002</t>
  </si>
  <si>
    <t>요거트 파우더 1kg/1box</t>
  </si>
  <si>
    <t>Yogurt Powder 1kg / BOX</t>
  </si>
  <si>
    <t>ヨーグルトパウダー 1kg/BOX</t>
  </si>
  <si>
    <t>PWB0001</t>
  </si>
  <si>
    <t>1kg*12ea</t>
  </si>
  <si>
    <t>나타드 코코 1kg/1box</t>
  </si>
  <si>
    <t>Nata de Coco 1kg / BOX</t>
  </si>
  <si>
    <t>ナタデココ 1kg/BOX</t>
  </si>
  <si>
    <t>TPB0001</t>
  </si>
  <si>
    <t>자몽청 1kg/1box</t>
  </si>
  <si>
    <t>Grapefruit Cheong 1kg / BOX</t>
  </si>
  <si>
    <t>グレープフルーツチョン 1kg/BOX</t>
  </si>
  <si>
    <t>SYB0001</t>
  </si>
  <si>
    <t>유자청 1kg/1box</t>
  </si>
  <si>
    <t>Yuja Cheong 1kg / BOX</t>
  </si>
  <si>
    <t>ゆずチョン 1kg/BOX</t>
  </si>
  <si>
    <t>SYB0002</t>
  </si>
  <si>
    <t>배 베이스 1.2kg/1box</t>
  </si>
  <si>
    <t>Pear Base 1.2kg / BOX</t>
  </si>
  <si>
    <t>梨ベース 1.2kg/BOX</t>
  </si>
  <si>
    <t>SYB0003</t>
  </si>
  <si>
    <t>1.2kg*6ea</t>
  </si>
  <si>
    <t>사과 베이스 1.95kg/1box</t>
  </si>
  <si>
    <t>Apple Base 1.95kg / BOX</t>
  </si>
  <si>
    <t>アップルベース 1.95kg/BOX</t>
  </si>
  <si>
    <t>SYB0004</t>
  </si>
  <si>
    <t>1.95kg*6ea</t>
  </si>
  <si>
    <t>율무차 파우더 900g/1box</t>
  </si>
  <si>
    <t>Job's Tears Tea Powder 900g / BOX</t>
  </si>
  <si>
    <t>ハトムギ茶パウダー 900g/BOX</t>
  </si>
  <si>
    <t>PWB0002</t>
  </si>
  <si>
    <t>900g*12ea</t>
  </si>
  <si>
    <t>아이스컵/92Ø/14oz</t>
  </si>
  <si>
    <t>Ice Cup 92Ø 14oz</t>
  </si>
  <si>
    <t>アイスカップ 92Ø 14oz</t>
  </si>
  <si>
    <t>DSB0001</t>
  </si>
  <si>
    <t>일회용품</t>
  </si>
  <si>
    <t>100ea*10</t>
  </si>
  <si>
    <t>핫컵/12oz</t>
  </si>
  <si>
    <t>Hot Cup 12oz</t>
  </si>
  <si>
    <t>ホットカップ 12oz</t>
  </si>
  <si>
    <t>DSB0002</t>
  </si>
  <si>
    <t>핫컵/16oz</t>
  </si>
  <si>
    <t>Hot Cup 16oz</t>
  </si>
  <si>
    <t>ホットカップ 16oz</t>
  </si>
  <si>
    <t>DSB0003</t>
  </si>
  <si>
    <t>아이스 리드/92파이</t>
  </si>
  <si>
    <t>Ice Lid 92Ø</t>
  </si>
  <si>
    <t>アイスリッド 92Ø</t>
  </si>
  <si>
    <t>DSB0004</t>
  </si>
  <si>
    <t>핫 리드/90파이</t>
  </si>
  <si>
    <t>Hot Lid 90Ø</t>
  </si>
  <si>
    <t>ホットリッド 90Ø</t>
  </si>
  <si>
    <t>DSB0005</t>
  </si>
  <si>
    <t>컵홀더</t>
  </si>
  <si>
    <t>Cup Holder</t>
  </si>
  <si>
    <t>カップホルダー</t>
  </si>
  <si>
    <t>DSB0006</t>
  </si>
  <si>
    <t>2구 펄프 캐리어</t>
  </si>
  <si>
    <t>2-Cup Pulp Carrier</t>
  </si>
  <si>
    <t>2口パルプキャリア</t>
  </si>
  <si>
    <t>DSB0007</t>
  </si>
  <si>
    <t>600ea</t>
  </si>
  <si>
    <t>N</t>
    <phoneticPr fontId="2" type="noConversion"/>
  </si>
  <si>
    <t>abc</t>
    <phoneticPr fontId="2" type="noConversion"/>
  </si>
  <si>
    <t>설명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</si>
</sst>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D1" workbookViewId="0">
      <selection activeCell="O14" sqref="O14"/>
    </sheetView>
  </sheetViews>
  <sheetFormatPr baseColWidth="10" defaultColWidth="8.83203125" defaultRowHeight="17"/>
  <cols>
    <col min="1" max="14" width="19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18</v>
      </c>
      <c r="C2" t="s">
        <v>19</v>
      </c>
      <c r="D2" t="s">
        <v>17</v>
      </c>
      <c r="E2" t="s">
        <v>20</v>
      </c>
      <c r="F2" t="s">
        <v>14</v>
      </c>
      <c r="G2" t="s">
        <v>16</v>
      </c>
      <c r="H2" t="s">
        <v>15</v>
      </c>
      <c r="I2">
        <v>30000</v>
      </c>
      <c r="J2" t="s">
        <v>132</v>
      </c>
      <c r="K2">
        <v>2</v>
      </c>
      <c r="L2">
        <v>10</v>
      </c>
      <c r="M2" t="s">
        <v>133</v>
      </c>
      <c r="N2" t="s">
        <v>134</v>
      </c>
    </row>
    <row r="3" spans="1:14">
      <c r="A3" t="s">
        <v>21</v>
      </c>
      <c r="B3" t="s">
        <v>22</v>
      </c>
      <c r="C3" t="s">
        <v>23</v>
      </c>
      <c r="D3" t="s">
        <v>21</v>
      </c>
      <c r="E3" t="s">
        <v>24</v>
      </c>
      <c r="F3" t="s">
        <v>14</v>
      </c>
      <c r="G3" t="s">
        <v>16</v>
      </c>
      <c r="H3" t="s">
        <v>15</v>
      </c>
      <c r="I3">
        <v>30000</v>
      </c>
      <c r="J3" t="s">
        <v>132</v>
      </c>
      <c r="K3">
        <v>2</v>
      </c>
      <c r="L3">
        <v>10</v>
      </c>
      <c r="M3" t="s">
        <v>133</v>
      </c>
      <c r="N3" t="s">
        <v>134</v>
      </c>
    </row>
    <row r="4" spans="1:14">
      <c r="A4" t="s">
        <v>25</v>
      </c>
      <c r="B4" t="s">
        <v>26</v>
      </c>
      <c r="C4" t="s">
        <v>27</v>
      </c>
      <c r="D4" t="s">
        <v>25</v>
      </c>
      <c r="E4" t="s">
        <v>28</v>
      </c>
      <c r="F4" t="s">
        <v>29</v>
      </c>
      <c r="G4" t="s">
        <v>16</v>
      </c>
      <c r="H4" t="s">
        <v>15</v>
      </c>
      <c r="I4">
        <v>10000</v>
      </c>
      <c r="J4" t="s">
        <v>132</v>
      </c>
      <c r="K4">
        <v>2</v>
      </c>
      <c r="L4">
        <v>10</v>
      </c>
      <c r="M4" t="s">
        <v>133</v>
      </c>
      <c r="N4" t="s">
        <v>134</v>
      </c>
    </row>
    <row r="5" spans="1:14">
      <c r="A5" t="s">
        <v>30</v>
      </c>
      <c r="B5" t="s">
        <v>31</v>
      </c>
      <c r="C5" t="s">
        <v>32</v>
      </c>
      <c r="D5" t="s">
        <v>30</v>
      </c>
      <c r="E5" t="s">
        <v>33</v>
      </c>
      <c r="F5" t="s">
        <v>34</v>
      </c>
      <c r="G5" t="s">
        <v>16</v>
      </c>
      <c r="H5" t="s">
        <v>15</v>
      </c>
      <c r="I5">
        <v>10000</v>
      </c>
      <c r="J5" t="s">
        <v>132</v>
      </c>
      <c r="K5">
        <v>2</v>
      </c>
      <c r="L5">
        <v>10</v>
      </c>
      <c r="M5" t="s">
        <v>133</v>
      </c>
      <c r="N5" t="s">
        <v>134</v>
      </c>
    </row>
    <row r="6" spans="1:14">
      <c r="A6" t="s">
        <v>35</v>
      </c>
      <c r="B6" t="s">
        <v>36</v>
      </c>
      <c r="C6" t="s">
        <v>37</v>
      </c>
      <c r="D6" t="s">
        <v>35</v>
      </c>
      <c r="E6" t="s">
        <v>38</v>
      </c>
      <c r="F6" t="s">
        <v>39</v>
      </c>
      <c r="G6" t="s">
        <v>16</v>
      </c>
      <c r="H6" t="s">
        <v>15</v>
      </c>
      <c r="I6">
        <v>12000</v>
      </c>
      <c r="J6" t="s">
        <v>132</v>
      </c>
      <c r="K6">
        <v>5</v>
      </c>
      <c r="L6">
        <v>10</v>
      </c>
      <c r="M6" t="s">
        <v>133</v>
      </c>
      <c r="N6" t="s">
        <v>134</v>
      </c>
    </row>
    <row r="7" spans="1:14">
      <c r="A7" t="s">
        <v>40</v>
      </c>
      <c r="B7" t="s">
        <v>41</v>
      </c>
      <c r="C7" t="s">
        <v>42</v>
      </c>
      <c r="D7" t="s">
        <v>40</v>
      </c>
      <c r="E7" t="s">
        <v>43</v>
      </c>
      <c r="F7" t="s">
        <v>39</v>
      </c>
      <c r="G7" t="s">
        <v>16</v>
      </c>
      <c r="H7" t="s">
        <v>15</v>
      </c>
      <c r="I7">
        <v>12000</v>
      </c>
      <c r="J7" t="s">
        <v>132</v>
      </c>
      <c r="K7">
        <v>5</v>
      </c>
      <c r="L7">
        <v>10</v>
      </c>
      <c r="M7" t="s">
        <v>133</v>
      </c>
      <c r="N7" t="s">
        <v>134</v>
      </c>
    </row>
    <row r="8" spans="1:14">
      <c r="A8" t="s">
        <v>44</v>
      </c>
      <c r="B8" t="s">
        <v>45</v>
      </c>
      <c r="C8" t="s">
        <v>46</v>
      </c>
      <c r="D8" t="s">
        <v>44</v>
      </c>
      <c r="E8" t="s">
        <v>47</v>
      </c>
      <c r="F8" t="s">
        <v>39</v>
      </c>
      <c r="G8" t="s">
        <v>16</v>
      </c>
      <c r="H8" t="s">
        <v>48</v>
      </c>
      <c r="I8">
        <v>12000</v>
      </c>
      <c r="J8" t="s">
        <v>132</v>
      </c>
      <c r="K8">
        <v>5</v>
      </c>
      <c r="L8">
        <v>10</v>
      </c>
      <c r="M8" t="s">
        <v>133</v>
      </c>
      <c r="N8" t="s">
        <v>134</v>
      </c>
    </row>
    <row r="9" spans="1:14">
      <c r="A9" t="s">
        <v>49</v>
      </c>
      <c r="B9" t="s">
        <v>50</v>
      </c>
      <c r="C9" t="s">
        <v>51</v>
      </c>
      <c r="D9" t="s">
        <v>49</v>
      </c>
      <c r="E9" t="s">
        <v>52</v>
      </c>
      <c r="F9" t="s">
        <v>39</v>
      </c>
      <c r="G9" t="s">
        <v>16</v>
      </c>
      <c r="H9" t="s">
        <v>53</v>
      </c>
      <c r="I9">
        <v>15000</v>
      </c>
      <c r="J9" t="s">
        <v>132</v>
      </c>
      <c r="K9">
        <v>5</v>
      </c>
      <c r="L9">
        <v>10</v>
      </c>
      <c r="M9" t="s">
        <v>133</v>
      </c>
      <c r="N9" t="s">
        <v>134</v>
      </c>
    </row>
    <row r="10" spans="1:14">
      <c r="A10" t="s">
        <v>54</v>
      </c>
      <c r="B10" t="s">
        <v>55</v>
      </c>
      <c r="C10" t="s">
        <v>56</v>
      </c>
      <c r="D10" t="s">
        <v>54</v>
      </c>
      <c r="E10" t="s">
        <v>57</v>
      </c>
      <c r="F10" t="s">
        <v>29</v>
      </c>
      <c r="G10" t="s">
        <v>16</v>
      </c>
      <c r="H10" t="s">
        <v>58</v>
      </c>
      <c r="I10">
        <v>10000</v>
      </c>
      <c r="J10" t="s">
        <v>132</v>
      </c>
      <c r="K10">
        <v>2</v>
      </c>
      <c r="L10">
        <v>10</v>
      </c>
      <c r="M10" t="s">
        <v>133</v>
      </c>
      <c r="N10" t="s">
        <v>134</v>
      </c>
    </row>
    <row r="11" spans="1:14">
      <c r="A11" t="s">
        <v>59</v>
      </c>
      <c r="B11" t="s">
        <v>60</v>
      </c>
      <c r="C11" t="s">
        <v>61</v>
      </c>
      <c r="D11" t="s">
        <v>59</v>
      </c>
      <c r="E11" t="s">
        <v>62</v>
      </c>
      <c r="F11" t="s">
        <v>14</v>
      </c>
      <c r="G11" t="s">
        <v>63</v>
      </c>
      <c r="H11" t="s">
        <v>64</v>
      </c>
      <c r="I11">
        <v>300000</v>
      </c>
      <c r="J11" t="s">
        <v>132</v>
      </c>
      <c r="K11">
        <v>2</v>
      </c>
      <c r="L11">
        <v>10</v>
      </c>
      <c r="M11" t="s">
        <v>133</v>
      </c>
      <c r="N11" t="s">
        <v>134</v>
      </c>
    </row>
    <row r="12" spans="1:14">
      <c r="A12" t="s">
        <v>65</v>
      </c>
      <c r="B12" t="s">
        <v>66</v>
      </c>
      <c r="C12" t="s">
        <v>67</v>
      </c>
      <c r="D12" t="s">
        <v>65</v>
      </c>
      <c r="E12" t="s">
        <v>68</v>
      </c>
      <c r="F12" t="s">
        <v>14</v>
      </c>
      <c r="G12" t="s">
        <v>63</v>
      </c>
      <c r="H12" t="s">
        <v>64</v>
      </c>
      <c r="I12">
        <v>300000</v>
      </c>
      <c r="J12" t="s">
        <v>132</v>
      </c>
      <c r="K12">
        <v>2</v>
      </c>
      <c r="L12">
        <v>10</v>
      </c>
      <c r="M12" t="s">
        <v>133</v>
      </c>
      <c r="N12" t="s">
        <v>134</v>
      </c>
    </row>
    <row r="13" spans="1:14">
      <c r="A13" t="s">
        <v>69</v>
      </c>
      <c r="B13" t="s">
        <v>70</v>
      </c>
      <c r="C13" t="s">
        <v>71</v>
      </c>
      <c r="D13" t="s">
        <v>69</v>
      </c>
      <c r="E13" t="s">
        <v>72</v>
      </c>
      <c r="F13" t="s">
        <v>29</v>
      </c>
      <c r="G13" t="s">
        <v>63</v>
      </c>
      <c r="H13" t="s">
        <v>73</v>
      </c>
      <c r="I13">
        <f>I4*12</f>
        <v>120000</v>
      </c>
      <c r="J13" t="s">
        <v>132</v>
      </c>
      <c r="K13">
        <v>2</v>
      </c>
      <c r="L13">
        <v>10</v>
      </c>
      <c r="M13" t="s">
        <v>133</v>
      </c>
      <c r="N13" t="s">
        <v>134</v>
      </c>
    </row>
    <row r="14" spans="1:14">
      <c r="A14" t="s">
        <v>74</v>
      </c>
      <c r="B14" t="s">
        <v>75</v>
      </c>
      <c r="C14" t="s">
        <v>76</v>
      </c>
      <c r="D14" t="s">
        <v>74</v>
      </c>
      <c r="E14" t="s">
        <v>77</v>
      </c>
      <c r="F14" t="s">
        <v>34</v>
      </c>
      <c r="G14" t="s">
        <v>63</v>
      </c>
      <c r="H14" t="s">
        <v>64</v>
      </c>
      <c r="I14">
        <f>I5*10</f>
        <v>100000</v>
      </c>
      <c r="J14" t="s">
        <v>132</v>
      </c>
      <c r="K14">
        <v>2</v>
      </c>
      <c r="L14">
        <v>10</v>
      </c>
      <c r="M14" t="s">
        <v>133</v>
      </c>
      <c r="N14" t="s">
        <v>134</v>
      </c>
    </row>
    <row r="15" spans="1:14">
      <c r="A15" t="s">
        <v>78</v>
      </c>
      <c r="B15" t="s">
        <v>79</v>
      </c>
      <c r="C15" t="s">
        <v>80</v>
      </c>
      <c r="D15" t="s">
        <v>78</v>
      </c>
      <c r="E15" t="s">
        <v>81</v>
      </c>
      <c r="F15" t="s">
        <v>39</v>
      </c>
      <c r="G15" t="s">
        <v>63</v>
      </c>
      <c r="H15" t="s">
        <v>73</v>
      </c>
      <c r="I15">
        <f>I6*12</f>
        <v>144000</v>
      </c>
      <c r="J15" t="s">
        <v>132</v>
      </c>
      <c r="K15">
        <v>5</v>
      </c>
      <c r="L15">
        <v>10</v>
      </c>
      <c r="M15" t="s">
        <v>133</v>
      </c>
      <c r="N15" t="s">
        <v>134</v>
      </c>
    </row>
    <row r="16" spans="1:14">
      <c r="A16" t="s">
        <v>82</v>
      </c>
      <c r="B16" t="s">
        <v>83</v>
      </c>
      <c r="C16" t="s">
        <v>84</v>
      </c>
      <c r="D16" t="s">
        <v>82</v>
      </c>
      <c r="E16" t="s">
        <v>85</v>
      </c>
      <c r="F16" t="s">
        <v>39</v>
      </c>
      <c r="G16" t="s">
        <v>63</v>
      </c>
      <c r="H16" t="s">
        <v>73</v>
      </c>
      <c r="I16">
        <f>I7*12</f>
        <v>144000</v>
      </c>
      <c r="J16" t="s">
        <v>132</v>
      </c>
      <c r="K16">
        <v>5</v>
      </c>
      <c r="L16">
        <v>10</v>
      </c>
      <c r="M16" t="s">
        <v>133</v>
      </c>
      <c r="N16" t="s">
        <v>134</v>
      </c>
    </row>
    <row r="17" spans="1:14">
      <c r="A17" t="s">
        <v>86</v>
      </c>
      <c r="B17" t="s">
        <v>87</v>
      </c>
      <c r="C17" t="s">
        <v>88</v>
      </c>
      <c r="D17" t="s">
        <v>86</v>
      </c>
      <c r="E17" t="s">
        <v>89</v>
      </c>
      <c r="F17" t="s">
        <v>39</v>
      </c>
      <c r="G17" t="s">
        <v>63</v>
      </c>
      <c r="H17" t="s">
        <v>90</v>
      </c>
      <c r="I17">
        <f>I8*6</f>
        <v>72000</v>
      </c>
      <c r="J17" t="s">
        <v>132</v>
      </c>
      <c r="K17">
        <v>5</v>
      </c>
      <c r="L17">
        <v>10</v>
      </c>
      <c r="M17" t="s">
        <v>133</v>
      </c>
      <c r="N17" t="s">
        <v>134</v>
      </c>
    </row>
    <row r="18" spans="1:14">
      <c r="A18" t="s">
        <v>91</v>
      </c>
      <c r="B18" t="s">
        <v>92</v>
      </c>
      <c r="C18" t="s">
        <v>93</v>
      </c>
      <c r="D18" t="s">
        <v>91</v>
      </c>
      <c r="E18" t="s">
        <v>94</v>
      </c>
      <c r="F18" t="s">
        <v>39</v>
      </c>
      <c r="G18" t="s">
        <v>63</v>
      </c>
      <c r="H18" t="s">
        <v>95</v>
      </c>
      <c r="I18">
        <f>I9*6</f>
        <v>90000</v>
      </c>
      <c r="J18" t="s">
        <v>132</v>
      </c>
      <c r="K18">
        <v>5</v>
      </c>
      <c r="L18">
        <v>10</v>
      </c>
      <c r="M18" t="s">
        <v>133</v>
      </c>
      <c r="N18" t="s">
        <v>134</v>
      </c>
    </row>
    <row r="19" spans="1:14">
      <c r="A19" t="s">
        <v>96</v>
      </c>
      <c r="B19" t="s">
        <v>97</v>
      </c>
      <c r="C19" t="s">
        <v>98</v>
      </c>
      <c r="D19" t="s">
        <v>96</v>
      </c>
      <c r="E19" t="s">
        <v>99</v>
      </c>
      <c r="F19" t="s">
        <v>29</v>
      </c>
      <c r="G19" t="s">
        <v>63</v>
      </c>
      <c r="H19" t="s">
        <v>100</v>
      </c>
      <c r="I19">
        <f>I10*12</f>
        <v>120000</v>
      </c>
      <c r="J19" t="s">
        <v>132</v>
      </c>
      <c r="K19">
        <v>2</v>
      </c>
      <c r="L19">
        <v>10</v>
      </c>
      <c r="M19" t="s">
        <v>133</v>
      </c>
      <c r="N19" t="s">
        <v>134</v>
      </c>
    </row>
    <row r="20" spans="1:14">
      <c r="A20" t="s">
        <v>101</v>
      </c>
      <c r="B20" t="s">
        <v>102</v>
      </c>
      <c r="C20" t="s">
        <v>103</v>
      </c>
      <c r="D20" t="s">
        <v>101</v>
      </c>
      <c r="E20" t="s">
        <v>104</v>
      </c>
      <c r="F20" t="s">
        <v>105</v>
      </c>
      <c r="G20" t="s">
        <v>63</v>
      </c>
      <c r="H20" t="s">
        <v>106</v>
      </c>
      <c r="I20">
        <v>60000</v>
      </c>
      <c r="J20" t="s">
        <v>132</v>
      </c>
      <c r="K20">
        <v>2</v>
      </c>
      <c r="L20">
        <v>10</v>
      </c>
      <c r="M20" t="s">
        <v>133</v>
      </c>
      <c r="N20" t="s">
        <v>134</v>
      </c>
    </row>
    <row r="21" spans="1:14">
      <c r="A21" t="s">
        <v>107</v>
      </c>
      <c r="B21" t="s">
        <v>108</v>
      </c>
      <c r="C21" t="s">
        <v>109</v>
      </c>
      <c r="D21" t="s">
        <v>107</v>
      </c>
      <c r="E21" t="s">
        <v>110</v>
      </c>
      <c r="F21" t="s">
        <v>105</v>
      </c>
      <c r="G21" t="s">
        <v>63</v>
      </c>
      <c r="H21" t="s">
        <v>106</v>
      </c>
      <c r="I21">
        <v>50000</v>
      </c>
      <c r="J21" t="s">
        <v>132</v>
      </c>
      <c r="K21">
        <v>2</v>
      </c>
      <c r="L21">
        <v>10</v>
      </c>
      <c r="M21" t="s">
        <v>133</v>
      </c>
      <c r="N21" t="s">
        <v>134</v>
      </c>
    </row>
    <row r="22" spans="1:14">
      <c r="A22" t="s">
        <v>111</v>
      </c>
      <c r="B22" t="s">
        <v>112</v>
      </c>
      <c r="C22" t="s">
        <v>113</v>
      </c>
      <c r="D22" t="s">
        <v>111</v>
      </c>
      <c r="E22" t="s">
        <v>114</v>
      </c>
      <c r="F22" t="s">
        <v>105</v>
      </c>
      <c r="G22" t="s">
        <v>63</v>
      </c>
      <c r="H22" t="s">
        <v>106</v>
      </c>
      <c r="I22">
        <v>55000</v>
      </c>
      <c r="J22" t="s">
        <v>132</v>
      </c>
      <c r="K22">
        <v>2</v>
      </c>
      <c r="L22">
        <v>10</v>
      </c>
      <c r="M22" t="s">
        <v>133</v>
      </c>
      <c r="N22" t="s">
        <v>134</v>
      </c>
    </row>
    <row r="23" spans="1:14">
      <c r="A23" t="s">
        <v>115</v>
      </c>
      <c r="B23" t="s">
        <v>116</v>
      </c>
      <c r="C23" t="s">
        <v>117</v>
      </c>
      <c r="D23" t="s">
        <v>115</v>
      </c>
      <c r="E23" t="s">
        <v>118</v>
      </c>
      <c r="F23" t="s">
        <v>105</v>
      </c>
      <c r="G23" t="s">
        <v>63</v>
      </c>
      <c r="H23" t="s">
        <v>106</v>
      </c>
      <c r="I23">
        <v>30000</v>
      </c>
      <c r="J23" t="s">
        <v>132</v>
      </c>
      <c r="K23">
        <v>2</v>
      </c>
      <c r="L23">
        <v>10</v>
      </c>
      <c r="M23" t="s">
        <v>133</v>
      </c>
      <c r="N23" t="s">
        <v>134</v>
      </c>
    </row>
    <row r="24" spans="1:14">
      <c r="A24" t="s">
        <v>119</v>
      </c>
      <c r="B24" t="s">
        <v>120</v>
      </c>
      <c r="C24" t="s">
        <v>121</v>
      </c>
      <c r="D24" t="s">
        <v>119</v>
      </c>
      <c r="E24" t="s">
        <v>122</v>
      </c>
      <c r="F24" t="s">
        <v>105</v>
      </c>
      <c r="G24" t="s">
        <v>63</v>
      </c>
      <c r="H24" t="s">
        <v>106</v>
      </c>
      <c r="I24">
        <v>32000</v>
      </c>
      <c r="J24" t="s">
        <v>132</v>
      </c>
      <c r="K24">
        <v>2</v>
      </c>
      <c r="L24">
        <v>10</v>
      </c>
      <c r="M24" t="s">
        <v>133</v>
      </c>
      <c r="N24" t="s">
        <v>134</v>
      </c>
    </row>
    <row r="25" spans="1:14">
      <c r="A25" t="s">
        <v>123</v>
      </c>
      <c r="B25" t="s">
        <v>124</v>
      </c>
      <c r="C25" t="s">
        <v>125</v>
      </c>
      <c r="D25" t="s">
        <v>123</v>
      </c>
      <c r="E25" t="s">
        <v>126</v>
      </c>
      <c r="F25" t="s">
        <v>105</v>
      </c>
      <c r="G25" t="s">
        <v>63</v>
      </c>
      <c r="H25" t="s">
        <v>106</v>
      </c>
      <c r="I25">
        <v>30000</v>
      </c>
      <c r="J25" t="s">
        <v>132</v>
      </c>
      <c r="K25">
        <v>2</v>
      </c>
      <c r="L25">
        <v>10</v>
      </c>
      <c r="M25" t="s">
        <v>133</v>
      </c>
      <c r="N25" t="s">
        <v>134</v>
      </c>
    </row>
    <row r="26" spans="1:14">
      <c r="A26" t="s">
        <v>127</v>
      </c>
      <c r="B26" t="s">
        <v>128</v>
      </c>
      <c r="C26" t="s">
        <v>129</v>
      </c>
      <c r="D26" t="s">
        <v>127</v>
      </c>
      <c r="E26" t="s">
        <v>130</v>
      </c>
      <c r="F26" t="s">
        <v>105</v>
      </c>
      <c r="G26" t="s">
        <v>63</v>
      </c>
      <c r="H26" t="s">
        <v>131</v>
      </c>
      <c r="I26">
        <v>40000</v>
      </c>
      <c r="J26" t="s">
        <v>132</v>
      </c>
      <c r="K26">
        <v>2</v>
      </c>
      <c r="L26">
        <v>10</v>
      </c>
      <c r="M26" t="s">
        <v>133</v>
      </c>
      <c r="N26" t="s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 일괄등록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EUNSEONG KIM</cp:lastModifiedBy>
  <dcterms:created xsi:type="dcterms:W3CDTF">2026-04-22T07:53:49Z</dcterms:created>
  <dcterms:modified xsi:type="dcterms:W3CDTF">2026-04-23T08:14:19Z</dcterms:modified>
</cp:coreProperties>
</file>
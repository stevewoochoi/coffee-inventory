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unseong/Downloads/"/>
    </mc:Choice>
  </mc:AlternateContent>
  <xr:revisionPtr revIDLastSave="0" documentId="13_ncr:1_{EDAA102F-3232-4A47-A4C7-7190D4D3B7E7}" xr6:coauthVersionLast="47" xr6:coauthVersionMax="47" xr10:uidLastSave="{00000000-0000-0000-0000-000000000000}"/>
  <bookViews>
    <workbookView xWindow="28800" yWindow="600" windowWidth="51200" windowHeight="28200" activeTab="11" xr2:uid="{00000000-000D-0000-FFFF-FFFF00000000}"/>
  </bookViews>
  <sheets>
    <sheet name="📋 테스트 개요" sheetId="1" r:id="rId1"/>
    <sheet name="📊 결과 요약" sheetId="2" r:id="rId2"/>
    <sheet name="📦 Phase1_상품등록" sheetId="3" r:id="rId3"/>
    <sheet name="🛒 Phase2_매장발주" sheetId="4" r:id="rId4"/>
    <sheet name="🔍 Phase3_발주확인" sheetId="5" r:id="rId5"/>
    <sheet name="⚠️ 예외오류케이스" sheetId="6" r:id="rId6"/>
    <sheet name="👤 UX 체크리스트" sheetId="7" r:id="rId7"/>
    <sheet name="📥 일괄등록·삭제·상태변경" sheetId="8" r:id="rId8"/>
    <sheet name="💴 가격관리·브랜드별차등" sheetId="9" r:id="rId9"/>
    <sheet name="📦 매장별재고확인" sheetId="10" r:id="rId10"/>
    <sheet name="🚚 발주확인·발송처리·알림" sheetId="11" r:id="rId11"/>
    <sheet name="📅 월마감·매입관리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D12" i="2"/>
  <c r="C12" i="2"/>
  <c r="B12" i="2"/>
  <c r="F12" i="2" s="1"/>
  <c r="E11" i="2"/>
  <c r="D11" i="2"/>
  <c r="C11" i="2"/>
  <c r="B11" i="2"/>
  <c r="F11" i="2" s="1"/>
  <c r="E10" i="2"/>
  <c r="D10" i="2"/>
  <c r="C10" i="2"/>
  <c r="B10" i="2"/>
  <c r="F10" i="2" s="1"/>
  <c r="E9" i="2"/>
  <c r="D9" i="2"/>
  <c r="C9" i="2"/>
  <c r="B9" i="2"/>
  <c r="F9" i="2" s="1"/>
  <c r="E8" i="2"/>
  <c r="D8" i="2"/>
  <c r="C8" i="2"/>
  <c r="B8" i="2"/>
  <c r="F8" i="2" s="1"/>
  <c r="E7" i="2"/>
  <c r="D7" i="2"/>
  <c r="C7" i="2"/>
  <c r="B7" i="2"/>
  <c r="F7" i="2" s="1"/>
  <c r="E6" i="2"/>
  <c r="D6" i="2"/>
  <c r="C6" i="2"/>
  <c r="B6" i="2"/>
  <c r="F6" i="2" s="1"/>
  <c r="E5" i="2"/>
  <c r="D5" i="2"/>
  <c r="C5" i="2"/>
  <c r="B5" i="2"/>
  <c r="F5" i="2" s="1"/>
  <c r="E4" i="2"/>
  <c r="D4" i="2"/>
  <c r="C4" i="2"/>
  <c r="B4" i="2"/>
  <c r="F4" i="2" s="1"/>
  <c r="F3" i="2"/>
  <c r="E3" i="2"/>
  <c r="E13" i="2" s="1"/>
  <c r="D3" i="2"/>
  <c r="D13" i="2" s="1"/>
  <c r="C3" i="2"/>
  <c r="C13" i="2" s="1"/>
  <c r="B3" i="2"/>
  <c r="B13" i="2" s="1"/>
  <c r="F13" i="2" l="1"/>
</calcChain>
</file>

<file path=xl/sharedStrings.xml><?xml version="1.0" encoding="utf-8"?>
<sst xmlns="http://schemas.openxmlformats.org/spreadsheetml/2006/main" count="958" uniqueCount="662">
  <si>
    <t>Coffee Inventory ERP — QA 테스트 시나리오</t>
  </si>
  <si>
    <t>버전: v1.0  |  작성일: 2026-04-27  |  대상 환경: http://57.180.22.12</t>
  </si>
  <si>
    <t>▌ 테스트 범위</t>
  </si>
  <si>
    <t>Phase 1</t>
  </si>
  <si>
    <t>본사(admin) — 상품 등록</t>
  </si>
  <si>
    <t>Phase 2</t>
  </si>
  <si>
    <t>매장(teststore) — 발주 생성</t>
  </si>
  <si>
    <t>Phase 3</t>
  </si>
  <si>
    <t>본사(admin) — 발주 현황 확인</t>
  </si>
  <si>
    <t>예외/오류</t>
  </si>
  <si>
    <t>필수 값 누락, 중복 등록, 권한 오류 등</t>
  </si>
  <si>
    <t>UX 체크</t>
  </si>
  <si>
    <t>사용자 관점 흐름, 피드백 메시지, 반응성</t>
  </si>
  <si>
    <t>▌ 테스트 계정</t>
  </si>
  <si>
    <t>역할</t>
  </si>
  <si>
    <t>이메일</t>
  </si>
  <si>
    <t>비밀번호</t>
  </si>
  <si>
    <t>권한</t>
  </si>
  <si>
    <t>담당 매장</t>
  </si>
  <si>
    <t>본사 최고관리자</t>
  </si>
  <si>
    <t>admin@coffee.com</t>
  </si>
  <si>
    <t>admin123</t>
  </si>
  <si>
    <t>전 메뉴 접근 가능</t>
  </si>
  <si>
    <t>-</t>
  </si>
  <si>
    <t>매장 관리자</t>
  </si>
  <si>
    <t>teststore@coffee.com</t>
  </si>
  <si>
    <t>test123!</t>
  </si>
  <si>
    <t>발주 생성·조회</t>
  </si>
  <si>
    <t>테스트매장</t>
  </si>
  <si>
    <t>▌ 등록 선행 데이터 (Phase 1 시작 전 준비)</t>
  </si>
  <si>
    <t>항목</t>
  </si>
  <si>
    <t>값</t>
  </si>
  <si>
    <t>카테고리(대분류)</t>
  </si>
  <si>
    <t>파우더 PW (기존 존재)</t>
  </si>
  <si>
    <t>공급사</t>
  </si>
  <si>
    <t>테스트공급사 (신규 등록)</t>
  </si>
  <si>
    <t>부재료</t>
  </si>
  <si>
    <t>요거트 파우더 1kg (신규 등록)</t>
  </si>
  <si>
    <t>포장단위</t>
  </si>
  <si>
    <t>요거트 파우더 1kg / 1EA (신규 등록)</t>
  </si>
  <si>
    <t>마스터 상품</t>
  </si>
  <si>
    <t>도쿄플라츠커피 브랜드에 배정 + 가격 설정</t>
  </si>
  <si>
    <t>▌ 상태 표기 기준</t>
  </si>
  <si>
    <t>✅ PASS</t>
  </si>
  <si>
    <t>예상 결과와 실제 결과 일치</t>
  </si>
  <si>
    <t>❌ FAIL</t>
  </si>
  <si>
    <t>예상 결과와 실제 결과 불일치</t>
  </si>
  <si>
    <t>⏭ SKIP</t>
  </si>
  <si>
    <t>사전조건 미충족 또는 의도적 건너뜀</t>
  </si>
  <si>
    <t>📊 테스트 결과 요약</t>
  </si>
  <si>
    <t>Phase / 시트</t>
  </si>
  <si>
    <t>전체 TC</t>
  </si>
  <si>
    <t>PASS ✅</t>
  </si>
  <si>
    <t>FAIL ❌</t>
  </si>
  <si>
    <t>SKIP ⏭</t>
  </si>
  <si>
    <t>통과율</t>
  </si>
  <si>
    <t>Phase 1 — 상품 등록</t>
  </si>
  <si>
    <t>Phase 2 — 매장 발주</t>
  </si>
  <si>
    <t>Phase 3 — 발주 확인</t>
  </si>
  <si>
    <t>예외/오류 케이스</t>
  </si>
  <si>
    <t>UX 체크리스트</t>
  </si>
  <si>
    <t>일괄등록·삭제·상태변경</t>
  </si>
  <si>
    <t>가격관리·브랜드별차등</t>
  </si>
  <si>
    <t>매장별 재고 확인</t>
  </si>
  <si>
    <t>발주확인·발송처리·알림</t>
  </si>
  <si>
    <t>월마감·매입관리</t>
  </si>
  <si>
    <t>TOTAL</t>
  </si>
  <si>
    <t>📦 Phase1_상품등록</t>
  </si>
  <si>
    <t>TC ID</t>
  </si>
  <si>
    <t>모듈</t>
  </si>
  <si>
    <t>테스트 항목</t>
  </si>
  <si>
    <t>사전조건</t>
  </si>
  <si>
    <t>테스트 단계</t>
  </si>
  <si>
    <t>예상 결과</t>
  </si>
  <si>
    <t>실제 결과</t>
  </si>
  <si>
    <t>상태</t>
  </si>
  <si>
    <t>비고</t>
  </si>
  <si>
    <t>TC-P1-01</t>
  </si>
  <si>
    <t>공급사 정상 등록</t>
  </si>
  <si>
    <t>본사</t>
  </si>
  <si>
    <t>- 로그인 완료
- 상품관리 &gt; 공급사 메뉴 접근 가능</t>
  </si>
  <si>
    <t>1. 상품관리 &gt; 공급사 이동
2. [+ 공급사 등록] 클릭
3. 이름: '테스트공급사' 입력
4. 사업자번호: 123-45-67890
5. 대표자: 홍길동
6. 연락처: 02-1234-5678
7. 이메일: test@supplier.com
8. 발주방법: EMAIL 선택
9. [저장] 클릭</t>
  </si>
  <si>
    <t>공급사 목록에 '테스트공급사' 추가됨
성공 토스트 메시지 노출</t>
  </si>
  <si>
    <t>TC-P1-02</t>
  </si>
  <si>
    <t>공급사 이름 필수 검증</t>
  </si>
  <si>
    <t>공급사 등록 폼 열린 상태</t>
  </si>
  <si>
    <t>1. 이름 빈칸
2. 나머지 항목 정상 입력
3. [저장] 클릭</t>
  </si>
  <si>
    <t>이름 필드 오류 표시
저장 차단
'이름은 필수 항목입니다' 류의 메시지</t>
  </si>
  <si>
    <t>TC-P1-03</t>
  </si>
  <si>
    <t>공급사 중복 이름 등록</t>
  </si>
  <si>
    <t>동일 이름 공급사 이미 존재</t>
  </si>
  <si>
    <t>1. 동일 이름으로 공급사 등록 시도
2. [저장] 클릭</t>
  </si>
  <si>
    <t>중복 오류 메시지 또는 저장 차단</t>
  </si>
  <si>
    <t>TC-P1-04</t>
  </si>
  <si>
    <t>카테고리</t>
  </si>
  <si>
    <t>대분류 카테고리 신규 등록</t>
  </si>
  <si>
    <t>상품관리 &gt; 카테고리 접근 가능</t>
  </si>
  <si>
    <t>1. 카테고리 관리 이동
2. 대분류 [+ 추가] 클릭
3. 이름: '음료베이스'
4. 코드: 'DB'
5. 표시 순서: 10
6. [저장]</t>
  </si>
  <si>
    <t>대분류 목록에 '음료베이스 DB' 추가됨</t>
  </si>
  <si>
    <t>TC-P1-05</t>
  </si>
  <si>
    <t>카테고리 이름 필수 검증</t>
  </si>
  <si>
    <t>카테고리 등록 폼 열린 상태</t>
  </si>
  <si>
    <t>1. 이름 비우고 코드만 입력
2. [저장] 클릭</t>
  </si>
  <si>
    <t>오류 메시지 노출, 저장 차단</t>
  </si>
  <si>
    <t>TC-P1-06</t>
  </si>
  <si>
    <t>부재료 정상 등록</t>
  </si>
  <si>
    <t>- 카테고리(파우더 PW) 존재
- 공급사(테스트공급사) 존재</t>
  </si>
  <si>
    <t>1. 상품관리 &gt; 부재료 이동
2. [+ 부재료 등록] 클릭
3. 이름: '요거트 파우더 1kg'
4. 카테고리: 파우더 &gt; (중·소분류 선택 가능 시 설정)
5. 공급사: 테스트공급사
6. 기본단위: g
7. 로스율: 0
8. 단가: 5000
9. 부가세: 과세
10. 납품 가능일: 월·화·수 체크
11. [저장]</t>
  </si>
  <si>
    <t>부재료 목록에 '요거트 파우더 1kg' 노출
단가·부가세·납품가능일 정확히 저장됨</t>
  </si>
  <si>
    <t>TC-P1-07</t>
  </si>
  <si>
    <t>부재료 이름 필수 검증</t>
  </si>
  <si>
    <t>부재료 등록 폼 열린 상태</t>
  </si>
  <si>
    <t>1. 이름 비우고 나머지 입력
2. [저장]</t>
  </si>
  <si>
    <t>이름 필드 오류, 저장 차단</t>
  </si>
  <si>
    <t>TC-P1-08</t>
  </si>
  <si>
    <t>부재료 단가 음수 입력</t>
  </si>
  <si>
    <t>1. 단가에 -1000 입력
2. [저장]</t>
  </si>
  <si>
    <t>음수 불가 오류 또는 저장 차단</t>
  </si>
  <si>
    <t>TC-P1-09</t>
  </si>
  <si>
    <t>공급사 미선택 저장</t>
  </si>
  <si>
    <t>1. 공급사 선택 없이 이름·단가만 입력
2. [저장]</t>
  </si>
  <si>
    <t>공급사 선택 없어도 저장 허용 여부 확인
(허용 시 목록에서 '-'로 표기되는지 확인)</t>
  </si>
  <si>
    <t>TC-P1-10</t>
  </si>
  <si>
    <t>엑셀 일괄 업로드 - 정상</t>
  </si>
  <si>
    <t>재고 &gt; 일괄 업로드 접근 가능
업로드 유형: 부재료</t>
  </si>
  <si>
    <t>1. 재고 &gt; 일괄 업로드 이동
2. 업로드 유형: 부재료 선택
3. 템플릿 다운로드
4. 템플릿에 2개 부재료 데이터 입력
5. 파일 업로드
6. 결과 확인</t>
  </si>
  <si>
    <t>업로드 성공 메시지
부재료 목록에 2개 항목 추가됨</t>
  </si>
  <si>
    <t>TC-P1-11</t>
  </si>
  <si>
    <t>엑셀 일괄 업로드 - 잘못된 형식</t>
  </si>
  <si>
    <t>일괄 업로드 화면</t>
  </si>
  <si>
    <t>1. 업로드 유형: 부재료
2. 일반 xlsx(템플릿 아님) 업로드 시도</t>
  </si>
  <si>
    <t>형식 오류 메시지
업로드 차단</t>
  </si>
  <si>
    <t>TC-P1-12</t>
  </si>
  <si>
    <t>포장단위 정상 등록</t>
  </si>
  <si>
    <t>부재료 '요거트 파우더 1kg' 등록 완료
공급사 등록 완료</t>
  </si>
  <si>
    <t>1. 상품관리 &gt; 포장단위 이동
2. [+ 포장단위 등록] 클릭
3. 부재료명: 요거트 파우더 1kg 선택
4. 포장명: 'EA'
5. 포장당 수량: 1
6. 바코드: 1234567890
7. 박스단가: 5000
8. 공급사: 테스트공급사 선택
9. [저장]</t>
  </si>
  <si>
    <t>포장단위 목록에 '요거트 파우더 1kg / EA' 노출
개당단가 자동 계산값 확인</t>
  </si>
  <si>
    <t>TC-P1-13</t>
  </si>
  <si>
    <t>포장단위 부재료 미선택 저장</t>
  </si>
  <si>
    <t>포장단위 등록 폼 열린 상태</t>
  </si>
  <si>
    <t>1. 부재료 선택 없이 나머지 입력
2. [저장]</t>
  </si>
  <si>
    <t>부재료 필수 오류 메시지
저장 차단</t>
  </si>
  <si>
    <t>TC-P1-14</t>
  </si>
  <si>
    <t>포장당 수량 0 입력</t>
  </si>
  <si>
    <t>1. 포장당 수량: 0 입력
2. [저장]</t>
  </si>
  <si>
    <t>0 불가 오류 또는 개당단가 계산 오류 없음 확인</t>
  </si>
  <si>
    <t>TC-P1-15</t>
  </si>
  <si>
    <t>브랜드 상품 배정</t>
  </si>
  <si>
    <t>포장단위 등록 완료</t>
  </si>
  <si>
    <t>1. 상품관리 &gt; 마스터 상품 이동
2. [++ 부재료 등록] 로 포장단위 추가 또는
   All Master Items 에서 도쿄플라츠커피 탭 선택
3. 대상 포장단위를 도쿄플라츠커피 Brand Items에 배정
4. 저장</t>
  </si>
  <si>
    <t>도쿄플라츠커피 탭에 해당 상품 노출
매장 발주 화면에서 선택 가능한 상태</t>
  </si>
  <si>
    <t>TC-P1-16</t>
  </si>
  <si>
    <t>브랜드 상품 가격 설정</t>
  </si>
  <si>
    <t>포장단위가 도쿄플라츠커피에 배정된 상태</t>
  </si>
  <si>
    <t>1. Brand Items &gt; 도쿄플라츠커피 탭
2. 해당 상품 [Price] 버튼 클릭
3. 가격 입력 후 저장</t>
  </si>
  <si>
    <t>가격 정보 저장됨
발주 시 해당 가격으로 노출</t>
  </si>
  <si>
    <t>TC-P1-17</t>
  </si>
  <si>
    <t>배정된 상품 삭제(X) 동작</t>
  </si>
  <si>
    <t>상품이 브랜드에 배정된 상태</t>
  </si>
  <si>
    <t>1. Brand Items 에서 [x] 클릭
2. 확인 또는 취소</t>
  </si>
  <si>
    <t>확인 시: 브랜드 목록에서 제거
취소 시: 유지</t>
  </si>
  <si>
    <t>🛒 Phase2_매장발주</t>
  </si>
  <si>
    <t>TC-P2-01</t>
  </si>
  <si>
    <t>발주</t>
  </si>
  <si>
    <t>매장 로그인 후 발주 메뉴 접근</t>
  </si>
  <si>
    <t>매장</t>
  </si>
  <si>
    <t>- Phase 1 완료
- teststore@coffee.com 계정 활성</t>
  </si>
  <si>
    <t>1. http://57.180.22.12/login 접속
2. teststore@coffee.com / test123! 로그인
3. 발주운영 &gt; 발주 현황 이동</t>
  </si>
  <si>
    <t>발주운영 메뉴 접근 가능
본사 전용 메뉴(설정 &gt; 사용자관리 등) 비노출</t>
  </si>
  <si>
    <t>TC-P2-02</t>
  </si>
  <si>
    <t>발주 신규 생성 - 정상</t>
  </si>
  <si>
    <t>- Phase 1 완료
- 도쿄플라츠커피 브랜드에 상품 배정됨</t>
  </si>
  <si>
    <t>1. 발주운영 &gt; 발주 현황 이동
2. [발주 등록] 버튼 클릭
3. 공급사: 테스트공급사 선택
4. 납품일 선택 (발주 가능 요일 확인)
5. 상품: 요거트 파우더 1kg / EA 선택
6. 수량: 10 입력
7. [발주 확정] 또는 [저장]</t>
  </si>
  <si>
    <t>발주 목록에 신규 발주 등록됨
상태: '확정' 또는 '대기'
발주번호 자동 부여됨</t>
  </si>
  <si>
    <t>TC-P2-03</t>
  </si>
  <si>
    <t>수량 0 입력 발주</t>
  </si>
  <si>
    <t>발주 생성 폼 열린 상태</t>
  </si>
  <si>
    <t>1. 상품 선택
2. 수량: 0 입력
3. [저장]</t>
  </si>
  <si>
    <t>수량 0 불가 오류 메시지
저장 차단</t>
  </si>
  <si>
    <t>TC-P2-04</t>
  </si>
  <si>
    <t>수량 미입력 발주</t>
  </si>
  <si>
    <t>1. 상품 선택
2. 수량 빈 칸
3. [저장]</t>
  </si>
  <si>
    <t>수량 필수 오류
저장 차단</t>
  </si>
  <si>
    <t>TC-P2-05</t>
  </si>
  <si>
    <t>납품일 미선택 발주</t>
  </si>
  <si>
    <t>1. 상품·수량 입력
2. 납품일 선택 안 함
3. [저장]</t>
  </si>
  <si>
    <t>납품일 필수 오류
저장 차단</t>
  </si>
  <si>
    <t>TC-P2-06</t>
  </si>
  <si>
    <t>발주 가능 요일 제한 확인</t>
  </si>
  <si>
    <t>부재료의 납품 가능일이 월·화·수로 설정된 상태</t>
  </si>
  <si>
    <t>1. 발주 생성 시 납품일 캘린더 확인
2. 목·금·토·일 선택 시도</t>
  </si>
  <si>
    <t>납품 불가 요일 선택 차단
또는 경고 메시지 노출</t>
  </si>
  <si>
    <t>TC-P2-07</t>
  </si>
  <si>
    <t>발주 달력 확인</t>
  </si>
  <si>
    <t>발주 1건 이상 생성된 상태</t>
  </si>
  <si>
    <t>1. 발주운영 &gt; 발주 달력 이동
2. 해당 납품일 확인</t>
  </si>
  <si>
    <t>납품일에 발주 건이 표시됨
상태별 색상(확정/발송됨/입고완료) 정확함</t>
  </si>
  <si>
    <t>TC-P2-08</t>
  </si>
  <si>
    <t>복수 상품 발주</t>
  </si>
  <si>
    <t>2개 이상 상품이 브랜드에 배정된 상태</t>
  </si>
  <si>
    <t>1. 발주 생성
2. 상품 2개 이상 추가
3. 각 수량 입력
4. 저장</t>
  </si>
  <si>
    <t>발주 1건에 복수 상품 포함됨
각 수량·단가 정확히 저장</t>
  </si>
  <si>
    <t>TC-P2-09</t>
  </si>
  <si>
    <t>마감 후 발주 제한 확인</t>
  </si>
  <si>
    <t>본사에서 해당 납품일 마감 실행된 상태</t>
  </si>
  <si>
    <t>1. 마감된 납품일로 발주 시도</t>
  </si>
  <si>
    <t>발주 차단 또는 경고 메시지
마감일에는 신규 발주 불가</t>
  </si>
  <si>
    <t>TC-P2-10</t>
  </si>
  <si>
    <t>발주 현황 필터 - 상태별 조회</t>
  </si>
  <si>
    <t>발주 2건 이상 존재</t>
  </si>
  <si>
    <t>1. 발주 현황에서 상태 필터 '확정' 선택
2. 결과 확인</t>
  </si>
  <si>
    <t>확정 상태 발주만 필터링됨</t>
  </si>
  <si>
    <t>TC-P2-11</t>
  </si>
  <si>
    <t>다른 브랜드 상품 노출 차단 확인</t>
  </si>
  <si>
    <t>블루마운틴 커피 전용 상품이 별도 존재</t>
  </si>
  <si>
    <t>1. 발주 상품 선택 화면에서 상품 목록 확인</t>
  </si>
  <si>
    <t>도쿄플라츠커피 브랜드 상품만 노출
타 브랜드 상품 미노출</t>
  </si>
  <si>
    <t>🔍 Phase3_발주확인</t>
  </si>
  <si>
    <t>TC-P3-01</t>
  </si>
  <si>
    <t>발주 현황</t>
  </si>
  <si>
    <t>본사 발주 현황 전체 조회</t>
  </si>
  <si>
    <t>- Phase 2 발주 1건 이상 생성됨
- admin 계정 로그인</t>
  </si>
  <si>
    <t>1. 발주운영 &gt; 발주 현황 이동
2. 전체 발주 목록 확인</t>
  </si>
  <si>
    <t>Phase 2에서 생성한 발주 노출
주문번호·매장명·공급사·상태 정확 표시</t>
  </si>
  <si>
    <t>TC-P3-02</t>
  </si>
  <si>
    <t>발주 상태 필터 조회</t>
  </si>
  <si>
    <t>발주 다수 존재</t>
  </si>
  <si>
    <t>1. 상태 필터: '확정' 선택
2. 결과 확인
3. '발송됨' 필터 변경 후 확인</t>
  </si>
  <si>
    <t>각 상태에 맞는 발주만 필터링됨</t>
  </si>
  <si>
    <t>TC-P3-03</t>
  </si>
  <si>
    <t>매장별 필터 조회</t>
  </si>
  <si>
    <t>2개 이상 매장 발주 존재</t>
  </si>
  <si>
    <t>1. 매장 필터에서 특정 매장 선택
2. 결과 확인</t>
  </si>
  <si>
    <t>선택 매장 발주만 노출</t>
  </si>
  <si>
    <t>TC-P3-04</t>
  </si>
  <si>
    <t>공급사별 요약 확인</t>
  </si>
  <si>
    <t>발주 1건 이상 존재</t>
  </si>
  <si>
    <t>1. 발주 현황에서 [공급사별 요약] 버튼 클릭
2. 결과 확인</t>
  </si>
  <si>
    <t>공급사별 발주 수량·금액 집계됨</t>
  </si>
  <si>
    <t>TC-P3-05</t>
  </si>
  <si>
    <t>마감 관리</t>
  </si>
  <si>
    <t>납품일 마감 실행</t>
  </si>
  <si>
    <t>해당 납품일에 발주가 존재</t>
  </si>
  <si>
    <t>1. 발주운영 &gt; 마감 관리 이동
2. 납품일 입력
3. [부족 확인] 클릭 — 부족 재고 확인
4. [마감 실행] 클릭</t>
  </si>
  <si>
    <t>마감 실행 후 해당 납품일 발주 잠김
매장에서 해당일 신규 발주 불가
마감 결과 표시</t>
  </si>
  <si>
    <t>TC-P3-06</t>
  </si>
  <si>
    <t>납품일 미입력 마감 실행</t>
  </si>
  <si>
    <t>마감 관리 화면</t>
  </si>
  <si>
    <t>1. 납품일 비우고 [마감 실행] 클릭</t>
  </si>
  <si>
    <t>날짜 필수 오류 메시지
실행 차단</t>
  </si>
  <si>
    <t>TC-P3-07</t>
  </si>
  <si>
    <t>수주 관리</t>
  </si>
  <si>
    <t>공급사 포탈 발주 확인</t>
  </si>
  <si>
    <t>발주 생성 완료</t>
  </si>
  <si>
    <t>1. 발주운영 &gt; 수주 관리 이동
2. 전체 탭에서 발주 확인
3. 확정/발송됨/입고완료 탭 이동</t>
  </si>
  <si>
    <t>공급사 포탈에서 발주 항목 조회됨
탭별 상태 필터링 정상 동작</t>
  </si>
  <si>
    <t>TC-P3-08</t>
  </si>
  <si>
    <t>주문번호 검색</t>
  </si>
  <si>
    <t>발주 존재</t>
  </si>
  <si>
    <t>1. 발주 현황 검색창에 주문번호 입력
2. 검색</t>
  </si>
  <si>
    <t>해당 주문번호 발주 1건만 노출</t>
  </si>
  <si>
    <t>TC-P3-09</t>
  </si>
  <si>
    <t>매장명 검색</t>
  </si>
  <si>
    <t>1. 검색창에 매장명 텍스트 입력
2. 검색</t>
  </si>
  <si>
    <t>해당 매장 발주만 필터링됨</t>
  </si>
  <si>
    <t>TC-P3-10</t>
  </si>
  <si>
    <t>재고 현황</t>
  </si>
  <si>
    <t>발주 입고 후 재고 반영 확인</t>
  </si>
  <si>
    <t>발주 상태가 '입고완료'로 처리된 상태</t>
  </si>
  <si>
    <t>1. 재고 &gt; 재고 현황 이동
2. 해당 매장 재고 확인</t>
  </si>
  <si>
    <t>입고 수량만큼 재고 증가됨</t>
  </si>
  <si>
    <t>⚠️ 예외오류케이스</t>
  </si>
  <si>
    <t>TC-EX-01</t>
  </si>
  <si>
    <t>인증</t>
  </si>
  <si>
    <t>잘못된 비밀번호 로그인</t>
  </si>
  <si>
    <t>매장/본사</t>
  </si>
  <si>
    <t>로그인 화면</t>
  </si>
  <si>
    <t>1. 올바른 이메일
2. 틀린 비밀번호 입력
3. [로그인]</t>
  </si>
  <si>
    <t>로그인 실패 메시지
계정 잠금 정책 적용 여부 확인 (5회 실패 시 등)</t>
  </si>
  <si>
    <t>TC-EX-02</t>
  </si>
  <si>
    <t>미존재 계정 로그인</t>
  </si>
  <si>
    <t>1. 등록되지 않은 이메일 입력
2. [로그인]</t>
  </si>
  <si>
    <t>계정 없음 오류
또는 일반화된 오류 메시지('이메일 또는 비밀번호를 확인하세요')</t>
  </si>
  <si>
    <t>TC-EX-03</t>
  </si>
  <si>
    <t>매장 계정으로 상품 등록 시도</t>
  </si>
  <si>
    <t>teststore 계정 로그인 완료</t>
  </si>
  <si>
    <t>1. URL 직접 입력으로 /admin/items 접근 시도
2. 또는 메뉴에서 상품관리 접근 시도</t>
  </si>
  <si>
    <t>접근 차단 또는 권한 없음 페이지
상품관리 메뉴 비노출</t>
  </si>
  <si>
    <t>TC-EX-04</t>
  </si>
  <si>
    <t>매장 계정으로 사용자 관리 접근</t>
  </si>
  <si>
    <t>teststore 계정 로그인</t>
  </si>
  <si>
    <t>1. /admin/settings/users 직접 접근</t>
  </si>
  <si>
    <t>접근 차단 또는 리다이렉트</t>
  </si>
  <si>
    <t>TC-EX-05</t>
  </si>
  <si>
    <t>상품</t>
  </si>
  <si>
    <t>이미 등록된 부재료명 중복 등록</t>
  </si>
  <si>
    <t>동일 이름 부재료 존재</t>
  </si>
  <si>
    <t>1. 동일 이름으로 부재료 등록 시도</t>
  </si>
  <si>
    <t>중복 오류 메시지 또는 저장 차단
(중복 허용 시 목록에 동일명 2건 노출 — 버그)</t>
  </si>
  <si>
    <t>TC-EX-06</t>
  </si>
  <si>
    <t>발주 등록 시 배정 안 된 상품 노출 확인</t>
  </si>
  <si>
    <t>특정 포장단위가 브랜드에 미배정 상태</t>
  </si>
  <si>
    <t>1. 발주 생성 상품 선택 화면 확인</t>
  </si>
  <si>
    <t>미배정 상품 미노출
배정된 상품만 선택 가능</t>
  </si>
  <si>
    <t>TC-EX-07</t>
  </si>
  <si>
    <t>수량 문자 입력</t>
  </si>
  <si>
    <t>발주 생성 폼</t>
  </si>
  <si>
    <t>1. 수량 필드에 'abc' 입력
2. [저장]</t>
  </si>
  <si>
    <t>숫자만 입력 가능하도록 차단 또는 오류 메시지</t>
  </si>
  <si>
    <t>TC-EX-08</t>
  </si>
  <si>
    <t>수량 소수점 입력</t>
  </si>
  <si>
    <t>1. 수량 필드에 1.5 입력
2. [저장]</t>
  </si>
  <si>
    <t>정수만 허용 또는 소수점 반올림 처리 여부 확인</t>
  </si>
  <si>
    <t>TC-EX-09</t>
  </si>
  <si>
    <t>세션</t>
  </si>
  <si>
    <t>장시간 미사용 후 작업 시도</t>
  </si>
  <si>
    <t>로그인 후 30분+ 방치</t>
  </si>
  <si>
    <t>1. 장시간 방치 후 발주 저장 시도</t>
  </si>
  <si>
    <t>세션 만료 메시지 후 로그인 화면 이동
작성 중 데이터 손실 처리 확인</t>
  </si>
  <si>
    <t>TC-EX-10</t>
  </si>
  <si>
    <t>네트워크</t>
  </si>
  <si>
    <t>저장 중 네트워크 단절 시뮬레이션</t>
  </si>
  <si>
    <t>발주 생성 폼 입력 완료 상태</t>
  </si>
  <si>
    <t>1. 브라우저 개발자 도구 &gt; 오프라인 모드 전환
2. [저장] 클릭</t>
  </si>
  <si>
    <t>오류 메시지 노출
중복 저장 방지 (재시도 시 동일 건 2회 저장 안 됨)</t>
  </si>
  <si>
    <t>TC-EX-11</t>
  </si>
  <si>
    <t>일괄업로드</t>
  </si>
  <si>
    <t>공급사 유형으로 부재료 템플릿 업로드</t>
  </si>
  <si>
    <t>1. 업로드 유형: 공급사 선택
2. 부재료 템플릿 파일 업로드</t>
  </si>
  <si>
    <t>유형 불일치 오류 메시지
업로드 차단</t>
  </si>
  <si>
    <t>TC-EX-12</t>
  </si>
  <si>
    <t>사용 중인 카테고리 삭제 시도</t>
  </si>
  <si>
    <t>해당 카테고리로 등록된 부재료 존재</t>
  </si>
  <si>
    <t>1. 카테고리 관리에서 사용 중인 항목 [삭제] 클릭</t>
  </si>
  <si>
    <t>삭제 차단 또는 연관 데이터 경고
강제 삭제 불가</t>
  </si>
  <si>
    <t>👤 UX 체크리스트</t>
  </si>
  <si>
    <t>TC-UX-01</t>
  </si>
  <si>
    <t>로그인</t>
  </si>
  <si>
    <t>피드백 메시지 적절성</t>
  </si>
  <si>
    <t>1. 빈 폼 제출 시 메시지 확인
2. 오류 시 메시지 확인</t>
  </si>
  <si>
    <t>'이메일을 입력하세요', '비밀번호를 확인하세요' 등 명확한 한국어 메시지
영어 에러 코드 원문 미노출</t>
  </si>
  <si>
    <t>TC-UX-02</t>
  </si>
  <si>
    <t>폼</t>
  </si>
  <si>
    <t>모달 닫기 후 데이터 초기화</t>
  </si>
  <si>
    <t>부재료 등록 폼 일부 입력 상태</t>
  </si>
  <si>
    <t>1. 폼 일부 입력
2. [취소] 또는 X 클릭
3. 다시 등록 폼 열기</t>
  </si>
  <si>
    <t>폼 내용 초기화됨
이전 입력값 잔존 없음</t>
  </si>
  <si>
    <t>TC-UX-03</t>
  </si>
  <si>
    <t>로딩</t>
  </si>
  <si>
    <t>재고 현황 로딩 표시</t>
  </si>
  <si>
    <t>재고 &gt; 재고 현황</t>
  </si>
  <si>
    <t>1. 재고 현황 페이지 진입 시 로딩 상태 확인</t>
  </si>
  <si>
    <t>'로딩 중...' 표시 후 데이터 렌더링
빈 화면 깜빡임 없음</t>
  </si>
  <si>
    <t>TC-UX-04</t>
  </si>
  <si>
    <t>반응성</t>
  </si>
  <si>
    <t>버튼 중복 클릭 방지</t>
  </si>
  <si>
    <t>발주 저장 직전 상태</t>
  </si>
  <si>
    <t>1. [저장] 버튼 빠르게 2회 연속 클릭</t>
  </si>
  <si>
    <t>발주 1건만 생성됨
버튼 비활성화 또는 중복 요청 방지</t>
  </si>
  <si>
    <t>TC-UX-05</t>
  </si>
  <si>
    <t>빈 상태</t>
  </si>
  <si>
    <t>데이터 없을 때 안내 문구</t>
  </si>
  <si>
    <t>발주 내역 없는 초기 상태</t>
  </si>
  <si>
    <t>1. 발주 현황, 재고 현황 등 빈 페이지 확인</t>
  </si>
  <si>
    <t>'발주 내역 없음', '등록된 부재료가 없습니다' 등 적절한 안내 문구 노출
빈 테이블만 노출 아님</t>
  </si>
  <si>
    <t>TC-UX-06</t>
  </si>
  <si>
    <t>검색</t>
  </si>
  <si>
    <t>검색 결과 없음 처리</t>
  </si>
  <si>
    <t>1. 존재하지 않는 주문번호 검색</t>
  </si>
  <si>
    <t>'검색 결과 없음' 또는 빈 목록 + 안내 문구
에러 페이지 아님</t>
  </si>
  <si>
    <t>TC-UX-07</t>
  </si>
  <si>
    <t>네비게이션</t>
  </si>
  <si>
    <t>매장 계정 메뉴 노출 범위</t>
  </si>
  <si>
    <t>teststore 로그인</t>
  </si>
  <si>
    <t>1. 사이드바 전체 메뉴 확인</t>
  </si>
  <si>
    <t>발주운영 메뉴만 노출 또는 허용 범위 내 메뉴만 노출
상품관리·설정·재무 등 관리자 메뉴 비노출</t>
  </si>
  <si>
    <t>TC-UX-08</t>
  </si>
  <si>
    <t>오류 메시지</t>
  </si>
  <si>
    <t>서버 오류 시 사용자 안내</t>
  </si>
  <si>
    <t>정상 로그인 상태</t>
  </si>
  <si>
    <t>1. 개발자 도구로 API 응답 강제 500 시뮬레이션 (가능 시)
2. 또는 서버 오류 유발 동작 수행</t>
  </si>
  <si>
    <t>기술적 에러 코드 미노출
'잠시 후 다시 시도해 주세요' 류의 안내문 노출</t>
  </si>
  <si>
    <t>TC-UX-09</t>
  </si>
  <si>
    <t>날짜 선택</t>
  </si>
  <si>
    <t>발주 달력 현재 월 표시</t>
  </si>
  <si>
    <t>발주 달력 화면</t>
  </si>
  <si>
    <t>1. 발주 달력 진입 시 기본 표시 월 확인</t>
  </si>
  <si>
    <t>현재 월(2026년 4월)이 기본 선택됨
이전/다음 버튼으로 월 이동 가능</t>
  </si>
  <si>
    <t>TC-UX-10</t>
  </si>
  <si>
    <t>상태 배지</t>
  </si>
  <si>
    <t>발주 상태 시각 구분</t>
  </si>
  <si>
    <t>다양한 상태의 발주 존재</t>
  </si>
  <si>
    <t>1. 발주 현황 목록에서 상태 배지 확인
2. 달력에서 색상 범례 확인</t>
  </si>
  <si>
    <t>확정(노란색)/발송됨(파란색)/입고완료(초록색) 등 색상으로 직관적 구분
색맹 사용자 고려한 텍스트 표기 병행</t>
  </si>
  <si>
    <t>TC-UX-11</t>
  </si>
  <si>
    <t>언어</t>
  </si>
  <si>
    <t>모든 UI 텍스트 한국어 통일</t>
  </si>
  <si>
    <t>본사/매장</t>
  </si>
  <si>
    <t>전체 화면</t>
  </si>
  <si>
    <t>1. 전체 메뉴·버튼·레이블·오류 메시지 확인</t>
  </si>
  <si>
    <t>영어 미번역 텍스트 없음
'Master Items', 'Brand Items' 등 영문 혼용 항목 허용 범위 명확히</t>
  </si>
  <si>
    <t>TC-UX-12</t>
  </si>
  <si>
    <t>토스트</t>
  </si>
  <si>
    <t>저장 성공·실패 피드백</t>
  </si>
  <si>
    <t>부재료 등록 직후</t>
  </si>
  <si>
    <t>1. 저장 성공 시 토스트 메시지 확인
2. 저장 실패 시 토스트 메시지 확인</t>
  </si>
  <si>
    <t>성공: 초록색 토스트 또는 명확한 성공 메시지
실패: 빨간색 토스트 또는 오류 메시지
3초 내 자동 닫힘</t>
  </si>
  <si>
    <t>📥 일괄등록·삭제·상태변경</t>
  </si>
  <si>
    <t>TC-BU-01</t>
  </si>
  <si>
    <t>일괄등록</t>
  </si>
  <si>
    <t>부재료 엑셀 업로드 — 정상</t>
  </si>
  <si>
    <t>- 재고 &gt; 일괄 업로드 접근 가능
- 업로드용 파일: 도쿄플라츠커피_물류_등록용_파일_v0_2_가격_등록_업로드용.xlsx
- 파일 내 17개 상품 데이터 포함</t>
  </si>
  <si>
    <t>1. 재고 &gt; 일괄 업로드 이동
2. 업로드 유형: 부재료 선택
3. 준비된 xlsx 파일 드래그 or 클릭 업로드
4. 업로드 결과 확인</t>
  </si>
  <si>
    <t>성공 메시지 노출
부재료 목록에 17개 항목 추가됨
각 항목의 상품코드(BEE0001 등)·카테고리·단가·부가세·로스율 정확히 저장
기본단위(EA/BOX) 구분 정확히 반영</t>
  </si>
  <si>
    <t>TC-BU-02</t>
  </si>
  <si>
    <t>업로드 후 각 상품 상세 검증</t>
  </si>
  <si>
    <t>TC-BU-01 완료 상태</t>
  </si>
  <si>
    <t>1. 부재료 목록에서 'BEE0001 카페발트 에스프레소 1kg' 선택
2. 상세 확인
3. 'DSB0001 아이스컵/92Ø/14oz' 선택
4. 상세 확인</t>
  </si>
  <si>
    <t>BEE0001: 단가 30,000원, 부가세 Y, 로스율 2%, 기본단위 EA
DSB0001: 단가 45,000원, 기본단위 BOX(100ea*10), 최소재고 5
규격·한국어명·영문명·일본어명 모두 정확히 저장됨</t>
  </si>
  <si>
    <t>TC-BU-03</t>
  </si>
  <si>
    <t>상품코드 중복 업로드 — 동일 파일 재업로드</t>
  </si>
  <si>
    <t>TC-BU-01 완료 (BEE0001~DSB0007 등록됨)</t>
  </si>
  <si>
    <t>1. 동일 파일 재업로드 시도</t>
  </si>
  <si>
    <t>상품코드 중복 오류 메시지 노출
예: '이미 등록된 상품코드: BEE0001, BEE0002...' 또는 전체 업로드 차단
기존 데이터 덮어쓰기 없음 확인</t>
  </si>
  <si>
    <t>TC-BU-04</t>
  </si>
  <si>
    <t>상품코드 중복 업로드 — 일부 신규+일부 중복</t>
  </si>
  <si>
    <t>BEE0001 이미 등록된 상태</t>
  </si>
  <si>
    <t>1. BEE0001(중복) + NEW0001(신규) 포함된 파일 업로드</t>
  </si>
  <si>
    <t>중복 항목 오류 명시
신규 항목(NEW0001)만 등록되는지 또는 전체 롤백인지 동작 확인
부분 성공 처리 방식 문서화</t>
  </si>
  <si>
    <t>TC-BU-05</t>
  </si>
  <si>
    <t>상품코드 컬럼 누락 파일 업로드</t>
  </si>
  <si>
    <t>1. 상품코드 컬럼 삭제한 파일 업로드</t>
  </si>
  <si>
    <t>필수 컬럼 누락 오류 메시지
업로드 차단
'상품코드는 필수 항목입니다' 류의 안내</t>
  </si>
  <si>
    <t>TC-BU-06</t>
  </si>
  <si>
    <t>필수 컬럼(상품명) 빈 행 포함 업로드</t>
  </si>
  <si>
    <t>업로드 파일 준비</t>
  </si>
  <si>
    <t>1. 상품명이 비어있는 행 1개 포함하여 업로드</t>
  </si>
  <si>
    <t>해당 행 오류 표시 또는 전체 업로드 차단
오류 행 번호/내용 명시</t>
  </si>
  <si>
    <t>TC-BU-07</t>
  </si>
  <si>
    <t>잘못된 카테고리값 포함 업로드</t>
  </si>
  <si>
    <t>1. 카테고리 컬럼에 시스템 미등록 값('기타2') 입력하여 업로드</t>
  </si>
  <si>
    <t>카테고리 오류 메시지
또는 '기타' 카테고리로 자동 매핑 후 경고 표시</t>
  </si>
  <si>
    <t>TC-BU-08</t>
  </si>
  <si>
    <t>단가 음수값 포함 업로드</t>
  </si>
  <si>
    <t>1. 단가 컬럼에 -9000 입력한 행 포함하여 업로드</t>
  </si>
  <si>
    <t>해당 행 유효성 오류
음수 단가 차단</t>
  </si>
  <si>
    <t>TC-BU-09</t>
  </si>
  <si>
    <t>템플릿 다운로드 검증</t>
  </si>
  <si>
    <t>재고 &gt; 일괄 업로드 화면</t>
  </si>
  <si>
    <t>1. 업로드 유형: 부재료 선택
2. [템플릿 다운로드] 클릭
3. 다운로드된 파일 컬럼 구조 확인</t>
  </si>
  <si>
    <t>다운로드 파일의 컬럼이 업로드용 파일과 일치
필수 컬럼 표시(*)가 정확함
한국어·영어·일본어명 컬럼 포함</t>
  </si>
  <si>
    <t>TC-BU-10</t>
  </si>
  <si>
    <t>상품삭제</t>
  </si>
  <si>
    <t>활성 상품 삭제</t>
  </si>
  <si>
    <t>BEE0001 등록된 상태
해당 상품에 연결된 발주 없음</t>
  </si>
  <si>
    <t>1. 부재료 관리에서 BEE0001 항목 찾기
2. 삭제 버튼 클릭
3. 삭제 확인 팝업에서 [확인]</t>
  </si>
  <si>
    <t>BEE0001 목록에서 제거
삭제 성공 토스트 메시지
취소 선택 시 유지됨</t>
  </si>
  <si>
    <t>TC-BU-11</t>
  </si>
  <si>
    <t>발주 이력 있는 상품 삭제 시도</t>
  </si>
  <si>
    <t>특정 상품에 연결된 발주 이력 존재</t>
  </si>
  <si>
    <t>1. 해당 상품 삭제 시도</t>
  </si>
  <si>
    <t>삭제 차단 또는 경고 메시지
'발주 이력이 있는 상품은 삭제할 수 없습니다' 류 안내
소프트 삭제(비활성 처리)로 대체되는지 확인</t>
  </si>
  <si>
    <t>TC-BU-12</t>
  </si>
  <si>
    <t>포장단위 연결된 부재료 삭제 시도</t>
  </si>
  <si>
    <t>부재료에 포장단위 연결된 상태</t>
  </si>
  <si>
    <t>1. 해당 부재료 삭제 시도</t>
  </si>
  <si>
    <t>연결된 포장단위 경고 표시
강제 삭제 불가 또는 연결 해제 후 삭제 유도</t>
  </si>
  <si>
    <t>TC-BU-13</t>
  </si>
  <si>
    <t>상태변경</t>
  </si>
  <si>
    <t>활성 → 비활성 전환</t>
  </si>
  <si>
    <t>상품 활성 상태</t>
  </si>
  <si>
    <t>1. 부재료 관리에서 대상 상품 [수정] 또는 상태 토글 클릭
2. 상태: 비활성으로 변경
3. 저장</t>
  </si>
  <si>
    <t>상태 배지가 '비활성'으로 변경됨
매장 발주 화면에서 해당 상품 미노출 확인</t>
  </si>
  <si>
    <t>TC-BU-14</t>
  </si>
  <si>
    <t>비활성 → 활성 전환</t>
  </si>
  <si>
    <t>상품 비활성 상태</t>
  </si>
  <si>
    <t>1. 비활성 상품 상태 활성으로 변경
2. 저장</t>
  </si>
  <si>
    <t>상태 '활성'으로 변경
매장 발주 화면에서 다시 선택 가능 확인</t>
  </si>
  <si>
    <t>TC-BU-15</t>
  </si>
  <si>
    <t>포장단위 활성 상태 변경</t>
  </si>
  <si>
    <t>1. 포장단위 관리에서 대상 포장단위 상태 변경
2. 저장</t>
  </si>
  <si>
    <t>상태 변경 반영
비활성화된 포장단위는 발주 선택 목록에서 제외</t>
  </si>
  <si>
    <t>💴 가격관리·브랜드별차등</t>
  </si>
  <si>
    <t>TC-PR-01</t>
  </si>
  <si>
    <t>가격관리</t>
  </si>
  <si>
    <t>브랜드 상품 가격 최초 등록</t>
  </si>
  <si>
    <t>- 포장단위가 두 브랜드(블루마운틴 커피 / 도쿄플라츠커피)에 배정된 상태
- 마스터 상품 화면 접근</t>
  </si>
  <si>
    <t>1. 상품관리 &gt; 마스터 상품 이동
2. 도쿄플라츠커피 탭 선택
3. 요거트 파우더 1kg/EA [Price] 클릭
4. 가격: 9,900 입력
5. 저장</t>
  </si>
  <si>
    <t>도쿄플라츠커피 탭 해당 상품에 ¥9,900 저장
발주 화면에서 ¥9,900으로 표시</t>
  </si>
  <si>
    <t>TC-PR-02</t>
  </si>
  <si>
    <t>브랜드별 차등 가격 설정</t>
  </si>
  <si>
    <t>동일 포장단위가 두 브랜드에 배정된 상태</t>
  </si>
  <si>
    <t>1. 도쿄플라츠커피 탭 &gt; 요거트 파우더 [Price] → 9,900 설정
2. 블루마운틴 커피 탭 &gt; 동일 상품 [Price] → 10,500 설정
3. 각 브랜드 탭에서 가격 확인</t>
  </si>
  <si>
    <t>도쿄플라츠커피: ¥9,900
블루마운틴 커피: ¥10,500
각 브랜드 독립 가격으로 저장됨
타 브랜드 가격에 영향 없음</t>
  </si>
  <si>
    <t>TC-PR-03</t>
  </si>
  <si>
    <t>가격 수정 후 기존 발주 영향 확인</t>
  </si>
  <si>
    <t>가격 설정 후 발주 1건 이상 존재</t>
  </si>
  <si>
    <t>1. 마스터 상품에서 해당 상품 가격 수정
   예: 9,900 → 11,000
2. 기존 발주 내역 확인
3. 신규 발주 생성 후 가격 확인</t>
  </si>
  <si>
    <t>기존 발주: 변경 전 가격(9,900) 유지
신규 발주: 변경 후 가격(11,000) 적용
가격 변경 이력 확인 가능 여부 확인</t>
  </si>
  <si>
    <t>TC-PR-04</t>
  </si>
  <si>
    <t>가격 0원 입력 검증</t>
  </si>
  <si>
    <t>마스터 상품 가격 설정 화면</t>
  </si>
  <si>
    <t>1. 가격에 0 입력
2. 저장</t>
  </si>
  <si>
    <t>0원 저장 허용 여부 확인
허용 시: 발주 화면에서 0원 표시
차단 시: 오류 메시지</t>
  </si>
  <si>
    <t>TC-PR-05</t>
  </si>
  <si>
    <t>가격 미설정 상품 발주 시도</t>
  </si>
  <si>
    <t>가격이 설정되지 않은 상품 존재</t>
  </si>
  <si>
    <t>1. 매장 발주 생성 시 가격 미설정 상품 선택</t>
  </si>
  <si>
    <t>가격 미설정 경고 표시
또는 '가격 미설정' 표기와 함께 발주 가능 여부 확인</t>
  </si>
  <si>
    <t>TC-PR-06</t>
  </si>
  <si>
    <t>가격 음수 입력 검증</t>
  </si>
  <si>
    <t>1. 가격에 -5000 입력
2. 저장</t>
  </si>
  <si>
    <t>음수 입력 차단 또는 오류 메시지</t>
  </si>
  <si>
    <t>TC-PR-07</t>
  </si>
  <si>
    <t>브랜드 탭 간 가격 독립성 재확인</t>
  </si>
  <si>
    <t>TC-PR-02 완료 상태</t>
  </si>
  <si>
    <t>1. 블루마운틴 커피 탭 가격 수정
2. 도쿄플라츠커피 탭 가격 확인</t>
  </si>
  <si>
    <t>블루마운틴 커피 가격 변경이 도쿄플라츠커피 가격에 영향 없음
완전 독립 저장 구조 확인</t>
  </si>
  <si>
    <t>TC-PR-08</t>
  </si>
  <si>
    <t>부가세 포함·별도 구분 표시</t>
  </si>
  <si>
    <t>부재료 등록 시 부가세: 과세(Y) 설정</t>
  </si>
  <si>
    <t>1. 마스터 상품 가격 설정 화면에서 해당 상품 가격 표시 확인
2. 발주 생성 화면에서 단가 표시 확인</t>
  </si>
  <si>
    <t>부가세 포함 여부가 가격 옆에 표시됨
예: ¥9,900 (tax incl.) 또는 ¥9,000 + tax
화면 캡처 시 일관성 확인</t>
  </si>
  <si>
    <t>📦 매장별재고확인</t>
  </si>
  <si>
    <t>TC-ST-01</t>
  </si>
  <si>
    <t>재고현황</t>
  </si>
  <si>
    <t>본사 — 전체 매장 재고 조회</t>
  </si>
  <si>
    <t>- 재고 업로드 또는 발주 입고 처리로 재고 존재
- admin 로그인</t>
  </si>
  <si>
    <t>1. 재고 &gt; 재고 현황 이동
2. 매장 필터: '전체 매장' 선택
3. 목록 확인</t>
  </si>
  <si>
    <t>전체 매장 재고 목록 표시
매장명·상품명·현재수량·단위 정확히 표시
빈 재고 '0' 또는 '-' 표시 확인</t>
  </si>
  <si>
    <t>TC-ST-02</t>
  </si>
  <si>
    <t>매장별 필터 적용</t>
  </si>
  <si>
    <t>2개 이상 매장 재고 존재</t>
  </si>
  <si>
    <t>1. 매장 필터에서 '시부야센터가이점' 선택
2. 결과 확인</t>
  </si>
  <si>
    <t>선택 매장 재고만 표시
타 매장 재고 미노출</t>
  </si>
  <si>
    <t>TC-ST-03</t>
  </si>
  <si>
    <t>부족 재고만 조회</t>
  </si>
  <si>
    <t>최소재고수량 설정된 상품 존재
일부 상품 현재 재고 &lt; 최소재고</t>
  </si>
  <si>
    <t>1. 재고 현황 화면에서 [부족 재고만] 버튼 클릭</t>
  </si>
  <si>
    <t>최소재고 미달 상품만 필터됨
부족 수량 강조 표시
대시보드의 '부족 재고' 카운트와 일치</t>
  </si>
  <si>
    <t>TC-ST-04</t>
  </si>
  <si>
    <t>상품 검색으로 특정 재고 조회</t>
  </si>
  <si>
    <t>재고 현황 화면</t>
  </si>
  <si>
    <t>1. 품목 검색창에 '요거트 파우더' 입력
2. 검색</t>
  </si>
  <si>
    <t>요거트 파우더 관련 재고만 필터됨
매장별 수량 확인 가능</t>
  </si>
  <si>
    <t>TC-ST-05</t>
  </si>
  <si>
    <t>재고 일괄 업로드</t>
  </si>
  <si>
    <t>재고 &gt; 일괄 업로드 화면
업로드 유형: 재고 선택</t>
  </si>
  <si>
    <t>1. 업로드 유형: 재고 선택
2. 템플릿 다운로드 후 매장·상품·수량 입력
3. 파일 업로드
4. 재고 현황에서 반영 확인</t>
  </si>
  <si>
    <t>업로드된 수량이 각 매장 재고에 반영됨
이전 재고에 누적 또는 덮어쓰기 여부 명확히 확인</t>
  </si>
  <si>
    <t>TC-ST-06</t>
  </si>
  <si>
    <t>유통기한 경고 확인</t>
  </si>
  <si>
    <t>유통기한 임박 상품 데이터 존재</t>
  </si>
  <si>
    <t>1. 재고 &gt; 유통기한 이동
2. 경고 현황 확인</t>
  </si>
  <si>
    <t>유통기한 임박 상품 목록 표시
매장명·상품명·유통기한 날짜 표시
'유통기한 경고를 불러오지 못했습니다' 오류 미발생 확인</t>
  </si>
  <si>
    <t>⚠️ 현재 스크린샷상 API 오류 발생 중 — 서버 로그 확인 필요</t>
  </si>
  <si>
    <t>TC-ST-07</t>
  </si>
  <si>
    <t>대시보드 매장별 재고 카드 확인</t>
  </si>
  <si>
    <t>로그인 후 대시보드 접근</t>
  </si>
  <si>
    <t>1. 대시보드 이동
2. 매장별 현황 비교 차트 확인
3. 각 매장 카드 확인</t>
  </si>
  <si>
    <t>미나미아오야마점·시부야GMO점 등 매장별 부족 재고·유통기한 경고 수 표시
차트와 카드 숫자 일치</t>
  </si>
  <si>
    <t>TC-ST-08</t>
  </si>
  <si>
    <t>본사 재고 vs 매장 재고 구분 확인</t>
  </si>
  <si>
    <t>본사 창고 재고 별도 등록된 상태 (있다면)</t>
  </si>
  <si>
    <t>1. 재고 현황에서 본사 창고 재고 조회 가능 여부 확인
2. 매장 재고와 구분 표시 여부</t>
  </si>
  <si>
    <t>본사 창고 재고가 별도 항목으로 표시되거나
또는 '본사' 매장으로 등록되어 필터 가능 여부 확인
(기능 미구현 시 Gap으로 기록)</t>
  </si>
  <si>
    <t>🔍 본사 재고 뷰 기능 존재 여부 확인 필요</t>
  </si>
  <si>
    <t>🚚 발주확인·발송처리·알림</t>
  </si>
  <si>
    <t>TC-OR-01</t>
  </si>
  <si>
    <t>발주확인</t>
  </si>
  <si>
    <t>본사 발주 현황 — 신규 발주 실시간 확인</t>
  </si>
  <si>
    <t>매장에서 발주 1건 생성 완료</t>
  </si>
  <si>
    <t>1. 발주운영 &gt; 발주 현황 이동
2. 최신순 정렬 확인
3. 신규 발주 항목 클릭</t>
  </si>
  <si>
    <t>매장에서 생성한 발주가 즉시 목록에 노출
주문번호·매장명·공급사·납품일·상태(확정) 표시
발주 상세: 상품명·수량·단가·합계금액 정확히 표시</t>
  </si>
  <si>
    <t>TC-OR-02</t>
  </si>
  <si>
    <t>발주 상세 내용 — 품목별 금액 확인</t>
  </si>
  <si>
    <t>발주 상세 화면 접근</t>
  </si>
  <si>
    <t>1. 발주 상세 페이지 진입
2. 품목별 수량·단가·소계 확인
3. 합계·부가세·총액 확인</t>
  </si>
  <si>
    <t>품목별 단가 × 수량 = 소계 정확
부가세 자동 계산 (과세 상품 10%)
총액 = 소계 합산 정확
(예: 요거트 파우더 10EA × ¥9,900 = ¥99,000)</t>
  </si>
  <si>
    <t>TC-OR-03</t>
  </si>
  <si>
    <t>공급사별 요약 집계</t>
  </si>
  <si>
    <t>복수 공급사 발주 존재</t>
  </si>
  <si>
    <t>1. 발주 현황 &gt; [공급사별 요약] 클릭
2. 공급사별 발주 수·총 금액 확인</t>
  </si>
  <si>
    <t>공급사별 발주 건수·합계금액 정확히 집계
납품일 기준 필터 가능 여부 확인</t>
  </si>
  <si>
    <t>TC-OR-04</t>
  </si>
  <si>
    <t>수주 관리(공급사 포탈) 발주 수신 확인</t>
  </si>
  <si>
    <t>1. 발주운영 &gt; 수주 관리 이동
2. '확정' 탭에서 신규 발주 확인</t>
  </si>
  <si>
    <t>공급사 포탈에서 확정 발주 조회됨
발주 내용(품목·수량·납품일) 확인 가능</t>
  </si>
  <si>
    <t>TC-OR-05</t>
  </si>
  <si>
    <t>발송처리</t>
  </si>
  <si>
    <t>발주 상태 → 발송됨 처리</t>
  </si>
  <si>
    <t>발주 상태: 확정</t>
  </si>
  <si>
    <t>1. 발주 현황 또는 수주 관리에서 해당 발주 선택
2. 상태 변경: 확정 → 발송됨
3. 발송 처리 확인</t>
  </si>
  <si>
    <t>발주 상태 '발송됨'으로 변경
발주 달력에서 해당 납품일 색상 변경 확인
변경 일시 기록 여부 확인</t>
  </si>
  <si>
    <t>TC-OR-06</t>
  </si>
  <si>
    <t>발송 처리 후 매장 알림 확인</t>
  </si>
  <si>
    <t>TC-OR-05 완료 (발송됨 처리)</t>
  </si>
  <si>
    <t>1. 매장 계정(teststore)으로 로그인
2. 알림 아이콘 또는 발주 현황 확인
3. 이메일/앱 알림 수신 여부 확인</t>
  </si>
  <si>
    <t>매장 화면에서 발주 상태가 '발송됨'으로 업데이트됨
알림 아이콘에 뱃지 표시 여부
이메일 알림 발송 여부 (발주 방법: EMAIL 설정 시)
알림 내용: 주문번호·상품명·발송 일시 포함</t>
  </si>
  <si>
    <t>🔍 알림 구현 방식(이메일/인앱/푸시) 실제 동작 확인 필요</t>
  </si>
  <si>
    <t>TC-OR-07</t>
  </si>
  <si>
    <t>발주 상태 → 입고완료 처리</t>
  </si>
  <si>
    <t>발주 상태: 발송됨</t>
  </si>
  <si>
    <t>1. 해당 발주 상태 → 입고완료로 변경</t>
  </si>
  <si>
    <t>발주 상태 '입고완료'로 변경
재고 현황에 발주 수량만큼 자동 증가 여부 확인
(자동 재고 반영 시: 매장 재고 정확히 가산됨)</t>
  </si>
  <si>
    <t>TC-OR-08</t>
  </si>
  <si>
    <t>역순 상태 변경 시도 (입고완료 → 확정)</t>
  </si>
  <si>
    <t>발주 상태: 입고완료</t>
  </si>
  <si>
    <t>1. 이미 입고완료된 발주 상태를 '확정'으로 되돌리기 시도</t>
  </si>
  <si>
    <t>상태 역행 차단 또는 경고 메시지
완료된 발주는 상태 변경 불가 확인</t>
  </si>
  <si>
    <t>TC-OR-09</t>
  </si>
  <si>
    <t>발주 달력 상태별 색상 확인</t>
  </si>
  <si>
    <t>확정·발송됨·입고완료 발주 각 1건씩 존재</t>
  </si>
  <si>
    <t>1. 발주운영 &gt; 발주 달력 이동
2. 각 납품일에 해당 발주 표시 확인
3. 범례 색상과 실제 표시 색상 일치 여부</t>
  </si>
  <si>
    <t>확정: 노란색 / 발송됨: 파란색 / 입고완료: 초록색
범례와 실제 색상 일치
클릭 시 발주 상세 이동 가능 여부</t>
  </si>
  <si>
    <t>TC-OR-10</t>
  </si>
  <si>
    <t>마감 관리 — 부족 확인</t>
  </si>
  <si>
    <t>납품일 발주 존재
일부 상품 재고 부족</t>
  </si>
  <si>
    <t>1. 발주운영 &gt; 마감 관리 이동
2. 납품일 입력
3. [부족 확인] 클릭</t>
  </si>
  <si>
    <t>해당 납품일 발주 대비 현재 재고 부족 상품 목록 표시
부족 수량 계산 정확 여부 확인</t>
  </si>
  <si>
    <t>📅 월마감·매입관리</t>
  </si>
  <si>
    <t>TC-MC-01</t>
  </si>
  <si>
    <t>월마감</t>
  </si>
  <si>
    <t>월마감 실행 전 데이터 확인</t>
  </si>
  <si>
    <t>- 해당 월 발주 3건 이상 존재
- 각 발주에 상세 품목·금액 포함
- 재무 &gt; 매입 관리 접근</t>
  </si>
  <si>
    <t>1. 재무 &gt; 매입 관리 이동
2. 2026년 4월 선택
3. [검색] 클릭</t>
  </si>
  <si>
    <t>4월 발주 목록 표시
각 발주별: 발주번호·매장명·공급사·품목·수량·단가·소계·부가세·합계
월 합계금액 집계 표시</t>
  </si>
  <si>
    <t>TC-MC-02</t>
  </si>
  <si>
    <t>월마감 실행</t>
  </si>
  <si>
    <t>해당 월 발주 처리 완료 상태
재무 &gt; 월마감 화면</t>
  </si>
  <si>
    <t>1. 재무 &gt; 월마감 이동
2. [월마감 실행] 버튼 클릭
3. 확인 팝업에서 [확인]</t>
  </si>
  <si>
    <t>월마감 기록 생성
해당 월 매입총액·재고자산 스냅샷 저장
재무 대시보드 월별 추이 차트에 4월 데이터 반영</t>
  </si>
  <si>
    <t>TC-MC-03</t>
  </si>
  <si>
    <t>월마감 후 해당 월 발주 잠금 확인</t>
  </si>
  <si>
    <t>TC-MC-02 완료 상태</t>
  </si>
  <si>
    <t>1. 월마감 완료 후 4월 발주에 수정 시도
2. 또는 4월 신규 발주 생성 시도</t>
  </si>
  <si>
    <t>마감된 월의 발주 수정·추가 차단
또는 경고 메시지 표시
(기능 미구현 시 Gap으로 기록)</t>
  </si>
  <si>
    <t>🔍 잠금 정책 구현 여부 확인 필요</t>
  </si>
  <si>
    <t>TC-MC-04</t>
  </si>
  <si>
    <t>월마감 내 발주 상세 비용 검증</t>
  </si>
  <si>
    <t>TC-MC-01 완료 상태</t>
  </si>
  <si>
    <t>1. 매입 관리에서 특정 발주 상세 진입
2. 품목별 금액 계산 확인
   - 요거트 파우더 10EA × ¥9,900 = ¥99,000
   - 부가세(10%) = ¥9,900
   - 총액 = ¥108,900
3. 발주 합계와 매입 관리 합계 일치 여부</t>
  </si>
  <si>
    <t>품목 소계: 단가 × 수량 정확
부가세: 과세 상품 10% 자동 계산
총액 = 소계 + 부가세 정확
발주 화면 금액 = 매입 관리 금액 일치</t>
  </si>
  <si>
    <t>TC-MC-05</t>
  </si>
  <si>
    <t>재고자산 평가 확인</t>
  </si>
  <si>
    <t>재고 데이터 및 단가 설정 완료</t>
  </si>
  <si>
    <t>1. 재무 &gt; 재고자산 평가 이동
2. 총 재고자산 및 매장별 재고자산 확인</t>
  </si>
  <si>
    <t>총 재고자산 = Σ(현재 재고수량 × 단가)
매장별 자산 합계 = 총 재고자산
재무 대시보드 '총 재고자산' 수치와 일치</t>
  </si>
  <si>
    <t>TC-MC-06</t>
  </si>
  <si>
    <t>재무 대시보드 월별 추이 반영</t>
  </si>
  <si>
    <t>TC-MC-02 완료</t>
  </si>
  <si>
    <t>1. 재무 &gt; 재무 대시보드 이동
2. 2026년 선택
3. 월별 추이 차트 확인</t>
  </si>
  <si>
    <t>4월 매입액·재고자산 데이터 포인트 차트에 반영
이전 월(0원) 대비 4월 수치 변화 가시화</t>
  </si>
  <si>
    <t>TC-MC-07</t>
  </si>
  <si>
    <t>이미 마감된 월 재실행 시도</t>
  </si>
  <si>
    <t>1. 월마감 화면에서 이미 마감된 월 재실행 시도</t>
  </si>
  <si>
    <t>중복 마감 차단 또는 경고 메시지
기존 마감 데이터 덮어쓰기 없음 확인</t>
  </si>
  <si>
    <t>TC-MC-08</t>
  </si>
  <si>
    <t>발주 없는 월 마감 실행</t>
  </si>
  <si>
    <t>발주가 전혀 없는 월(예: 3월)</t>
  </si>
  <si>
    <t>1. 3월로 월마감 실행 시도</t>
  </si>
  <si>
    <t>발주 없는 월 마감 처리 가능 여부 확인
처리 시: 매입액 0원으로 기록
차단 시: '처리할 발주가 없습니다' 안내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</si>
</sst>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7375E"/>
      </patternFill>
    </fill>
    <fill>
      <patternFill patternType="solid">
        <fgColor rgb="FFD6E4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9FF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2E4057"/>
      </patternFill>
    </fill>
    <fill>
      <patternFill patternType="solid">
        <fgColor rgb="FF7F3F9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3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workbookViewId="0">
      <selection activeCell="D31" sqref="D31"/>
    </sheetView>
  </sheetViews>
  <sheetFormatPr baseColWidth="10" defaultColWidth="8.83203125" defaultRowHeight="17"/>
  <cols>
    <col min="1" max="1" width="22" customWidth="1"/>
    <col min="2" max="2" width="40.5" customWidth="1"/>
    <col min="3" max="3" width="20" customWidth="1"/>
    <col min="4" max="10" width="16" customWidth="1"/>
  </cols>
  <sheetData>
    <row r="1" spans="1:10" ht="32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0" customHeight="1">
      <c r="A2" s="23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4" spans="1:10" ht="22" customHeight="1">
      <c r="A4" s="22" t="s">
        <v>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8" customHeight="1">
      <c r="A5" s="20" t="s">
        <v>3</v>
      </c>
      <c r="B5" s="19"/>
      <c r="C5" s="21" t="s">
        <v>4</v>
      </c>
      <c r="D5" s="19"/>
      <c r="E5" s="19"/>
      <c r="F5" s="19"/>
      <c r="G5" s="19"/>
      <c r="H5" s="19"/>
      <c r="I5" s="19"/>
      <c r="J5" s="19"/>
    </row>
    <row r="6" spans="1:10" ht="18" customHeight="1">
      <c r="A6" s="20" t="s">
        <v>5</v>
      </c>
      <c r="B6" s="19"/>
      <c r="C6" s="21" t="s">
        <v>6</v>
      </c>
      <c r="D6" s="19"/>
      <c r="E6" s="19"/>
      <c r="F6" s="19"/>
      <c r="G6" s="19"/>
      <c r="H6" s="19"/>
      <c r="I6" s="19"/>
      <c r="J6" s="19"/>
    </row>
    <row r="7" spans="1:10" ht="18" customHeight="1">
      <c r="A7" s="20" t="s">
        <v>7</v>
      </c>
      <c r="B7" s="19"/>
      <c r="C7" s="21" t="s">
        <v>8</v>
      </c>
      <c r="D7" s="19"/>
      <c r="E7" s="19"/>
      <c r="F7" s="19"/>
      <c r="G7" s="19"/>
      <c r="H7" s="19"/>
      <c r="I7" s="19"/>
      <c r="J7" s="19"/>
    </row>
    <row r="8" spans="1:10" ht="18" customHeight="1">
      <c r="A8" s="25" t="s">
        <v>9</v>
      </c>
      <c r="B8" s="19"/>
      <c r="C8" s="21" t="s">
        <v>10</v>
      </c>
      <c r="D8" s="19"/>
      <c r="E8" s="19"/>
      <c r="F8" s="19"/>
      <c r="G8" s="19"/>
      <c r="H8" s="19"/>
      <c r="I8" s="19"/>
      <c r="J8" s="19"/>
    </row>
    <row r="9" spans="1:10" ht="18" customHeight="1">
      <c r="A9" s="24" t="s">
        <v>11</v>
      </c>
      <c r="B9" s="19"/>
      <c r="C9" s="21" t="s">
        <v>12</v>
      </c>
      <c r="D9" s="19"/>
      <c r="E9" s="19"/>
      <c r="F9" s="19"/>
      <c r="G9" s="19"/>
      <c r="H9" s="19"/>
      <c r="I9" s="19"/>
      <c r="J9" s="19"/>
    </row>
    <row r="11" spans="1:10" ht="22" customHeight="1">
      <c r="A11" s="22" t="s">
        <v>13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18" customHeight="1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</row>
    <row r="13" spans="1:10" ht="18" customHeight="1">
      <c r="A13" s="2" t="s">
        <v>19</v>
      </c>
      <c r="B13" s="2" t="s">
        <v>20</v>
      </c>
      <c r="C13" s="2" t="s">
        <v>21</v>
      </c>
      <c r="D13" s="2" t="s">
        <v>22</v>
      </c>
      <c r="E13" s="2" t="s">
        <v>23</v>
      </c>
    </row>
    <row r="14" spans="1:10" ht="18" customHeight="1">
      <c r="A14" s="2" t="s">
        <v>24</v>
      </c>
      <c r="B14" s="2" t="s">
        <v>25</v>
      </c>
      <c r="C14" s="2" t="s">
        <v>26</v>
      </c>
      <c r="D14" s="2" t="s">
        <v>27</v>
      </c>
      <c r="E14" s="2" t="s">
        <v>28</v>
      </c>
    </row>
    <row r="16" spans="1:10" ht="22" customHeight="1">
      <c r="A16" s="22" t="s">
        <v>29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18" customHeight="1">
      <c r="A17" s="1" t="s">
        <v>30</v>
      </c>
      <c r="B17" s="1" t="s">
        <v>31</v>
      </c>
    </row>
    <row r="18" spans="1:10" ht="18" customHeight="1">
      <c r="A18" s="2" t="s">
        <v>32</v>
      </c>
      <c r="B18" s="2" t="s">
        <v>33</v>
      </c>
    </row>
    <row r="19" spans="1:10" ht="18" customHeight="1">
      <c r="A19" s="2" t="s">
        <v>34</v>
      </c>
      <c r="B19" s="2" t="s">
        <v>35</v>
      </c>
    </row>
    <row r="20" spans="1:10" ht="18" customHeight="1">
      <c r="A20" s="2" t="s">
        <v>36</v>
      </c>
      <c r="B20" s="2" t="s">
        <v>37</v>
      </c>
    </row>
    <row r="21" spans="1:10" ht="18" customHeight="1">
      <c r="A21" s="2" t="s">
        <v>38</v>
      </c>
      <c r="B21" s="2" t="s">
        <v>39</v>
      </c>
    </row>
    <row r="22" spans="1:10" ht="18" customHeight="1">
      <c r="A22" s="2" t="s">
        <v>40</v>
      </c>
      <c r="B22" s="2" t="s">
        <v>41</v>
      </c>
    </row>
    <row r="24" spans="1:10" ht="22" customHeight="1">
      <c r="A24" s="22" t="s">
        <v>42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ht="18" customHeight="1">
      <c r="A25" s="4" t="s">
        <v>43</v>
      </c>
      <c r="B25" s="2" t="s">
        <v>44</v>
      </c>
    </row>
    <row r="26" spans="1:10" ht="18" customHeight="1">
      <c r="A26" s="3" t="s">
        <v>45</v>
      </c>
      <c r="B26" s="2" t="s">
        <v>46</v>
      </c>
    </row>
    <row r="27" spans="1:10" ht="18" customHeight="1">
      <c r="A27" s="5" t="s">
        <v>47</v>
      </c>
      <c r="B27" s="2" t="s">
        <v>48</v>
      </c>
    </row>
  </sheetData>
  <mergeCells count="16">
    <mergeCell ref="A24:J24"/>
    <mergeCell ref="A8:B8"/>
    <mergeCell ref="A6:B6"/>
    <mergeCell ref="C8:J8"/>
    <mergeCell ref="C9:J9"/>
    <mergeCell ref="A1:J1"/>
    <mergeCell ref="A7:B7"/>
    <mergeCell ref="C7:J7"/>
    <mergeCell ref="A11:J11"/>
    <mergeCell ref="A16:J16"/>
    <mergeCell ref="C6:J6"/>
    <mergeCell ref="A5:B5"/>
    <mergeCell ref="A4:J4"/>
    <mergeCell ref="C5:J5"/>
    <mergeCell ref="A2:J2"/>
    <mergeCell ref="A9:B9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selection activeCell="C27" sqref="C27"/>
    </sheetView>
  </sheetViews>
  <sheetFormatPr baseColWidth="10" defaultColWidth="8.83203125" defaultRowHeight="17"/>
  <cols>
    <col min="1" max="1" width="24" customWidth="1"/>
    <col min="2" max="5" width="12" customWidth="1"/>
    <col min="6" max="6" width="14" customWidth="1"/>
  </cols>
  <sheetData>
    <row r="1" spans="1:6" ht="28" customHeight="1">
      <c r="A1" s="26" t="s">
        <v>49</v>
      </c>
      <c r="B1" s="19"/>
      <c r="C1" s="19"/>
      <c r="D1" s="19"/>
      <c r="E1" s="19"/>
      <c r="F1" s="19"/>
    </row>
    <row r="2" spans="1:6" ht="20" customHeight="1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</row>
    <row r="3" spans="1:6" ht="20" customHeight="1">
      <c r="A3" s="7" t="s">
        <v>56</v>
      </c>
      <c r="B3" s="8">
        <f>COUNTA('📦 Phase1_상품등록'!A3:A1000)</f>
        <v>17</v>
      </c>
      <c r="C3" s="8">
        <f>COUNTIF('📦 Phase1_상품등록'!I3:I1000,"✅ PASS")</f>
        <v>0</v>
      </c>
      <c r="D3" s="8">
        <f>COUNTIF('📦 Phase1_상품등록'!I3:I1000,"❌ FAIL")</f>
        <v>0</v>
      </c>
      <c r="E3" s="8">
        <f>COUNTIF('📦 Phase1_상품등록'!I3:I1000,"⏭ SKIP")</f>
        <v>0</v>
      </c>
      <c r="F3" s="8" t="str">
        <f t="shared" ref="F3:F13" si="0">IF(B3=0,"-",TEXT(C3/B3,"0.0%"))</f>
        <v>0.0%</v>
      </c>
    </row>
    <row r="4" spans="1:6" ht="20" customHeight="1">
      <c r="A4" s="9" t="s">
        <v>57</v>
      </c>
      <c r="B4" s="10">
        <f>COUNTA('🛒 Phase2_매장발주'!A3:A1000)</f>
        <v>11</v>
      </c>
      <c r="C4" s="10">
        <f>COUNTIF('🛒 Phase2_매장발주'!I3:I1000,"✅ PASS")</f>
        <v>0</v>
      </c>
      <c r="D4" s="10">
        <f>COUNTIF('🛒 Phase2_매장발주'!I3:I1000,"❌ FAIL")</f>
        <v>0</v>
      </c>
      <c r="E4" s="10">
        <f>COUNTIF('🛒 Phase2_매장발주'!I3:I1000,"⏭ SKIP")</f>
        <v>0</v>
      </c>
      <c r="F4" s="10" t="str">
        <f t="shared" si="0"/>
        <v>0.0%</v>
      </c>
    </row>
    <row r="5" spans="1:6" ht="20" customHeight="1">
      <c r="A5" s="7" t="s">
        <v>58</v>
      </c>
      <c r="B5" s="8">
        <f>COUNTA('🔍 Phase3_발주확인'!A3:A1000)</f>
        <v>10</v>
      </c>
      <c r="C5" s="8">
        <f>COUNTIF('🔍 Phase3_발주확인'!I3:I1000,"✅ PASS")</f>
        <v>0</v>
      </c>
      <c r="D5" s="8">
        <f>COUNTIF('🔍 Phase3_발주확인'!I3:I1000,"❌ FAIL")</f>
        <v>0</v>
      </c>
      <c r="E5" s="8">
        <f>COUNTIF('🔍 Phase3_발주확인'!I3:I1000,"⏭ SKIP")</f>
        <v>0</v>
      </c>
      <c r="F5" s="8" t="str">
        <f t="shared" si="0"/>
        <v>0.0%</v>
      </c>
    </row>
    <row r="6" spans="1:6" ht="20" customHeight="1">
      <c r="A6" s="9" t="s">
        <v>59</v>
      </c>
      <c r="B6" s="10">
        <f>COUNTA('⚠️ 예외오류케이스'!A3:A1000)</f>
        <v>12</v>
      </c>
      <c r="C6" s="10">
        <f>COUNTIF('⚠️ 예외오류케이스'!I3:I1000,"✅ PASS")</f>
        <v>0</v>
      </c>
      <c r="D6" s="10">
        <f>COUNTIF('⚠️ 예외오류케이스'!I3:I1000,"❌ FAIL")</f>
        <v>0</v>
      </c>
      <c r="E6" s="10">
        <f>COUNTIF('⚠️ 예외오류케이스'!I3:I1000,"⏭ SKIP")</f>
        <v>0</v>
      </c>
      <c r="F6" s="10" t="str">
        <f t="shared" si="0"/>
        <v>0.0%</v>
      </c>
    </row>
    <row r="7" spans="1:6" ht="20" customHeight="1">
      <c r="A7" s="7" t="s">
        <v>60</v>
      </c>
      <c r="B7" s="8">
        <f>COUNTA('👤 UX 체크리스트'!A3:A1000)</f>
        <v>12</v>
      </c>
      <c r="C7" s="8">
        <f>COUNTIF('👤 UX 체크리스트'!I3:I1000,"✅ PASS")</f>
        <v>0</v>
      </c>
      <c r="D7" s="8">
        <f>COUNTIF('👤 UX 체크리스트'!I3:I1000,"❌ FAIL")</f>
        <v>0</v>
      </c>
      <c r="E7" s="8">
        <f>COUNTIF('👤 UX 체크리스트'!I3:I1000,"⏭ SKIP")</f>
        <v>0</v>
      </c>
      <c r="F7" s="8" t="str">
        <f t="shared" si="0"/>
        <v>0.0%</v>
      </c>
    </row>
    <row r="8" spans="1:6" ht="20" customHeight="1">
      <c r="A8" s="9" t="s">
        <v>61</v>
      </c>
      <c r="B8" s="10">
        <f>COUNTA('📥 일괄등록·삭제·상태변경'!A3:A1000)</f>
        <v>15</v>
      </c>
      <c r="C8" s="10">
        <f>COUNTIF('📥 일괄등록·삭제·상태변경'!I3:I1000,"✅ PASS")</f>
        <v>0</v>
      </c>
      <c r="D8" s="10">
        <f>COUNTIF('📥 일괄등록·삭제·상태변경'!I3:I1000,"❌ FAIL")</f>
        <v>0</v>
      </c>
      <c r="E8" s="10">
        <f>COUNTIF('📥 일괄등록·삭제·상태변경'!I3:I1000,"⏭ SKIP")</f>
        <v>0</v>
      </c>
      <c r="F8" s="10" t="str">
        <f t="shared" si="0"/>
        <v>0.0%</v>
      </c>
    </row>
    <row r="9" spans="1:6" ht="20" customHeight="1">
      <c r="A9" s="7" t="s">
        <v>62</v>
      </c>
      <c r="B9" s="8">
        <f>COUNTA('💴 가격관리·브랜드별차등'!A3:A1000)</f>
        <v>8</v>
      </c>
      <c r="C9" s="8">
        <f>COUNTIF('💴 가격관리·브랜드별차등'!I3:I1000,"✅ PASS")</f>
        <v>0</v>
      </c>
      <c r="D9" s="8">
        <f>COUNTIF('💴 가격관리·브랜드별차등'!I3:I1000,"❌ FAIL")</f>
        <v>0</v>
      </c>
      <c r="E9" s="8">
        <f>COUNTIF('💴 가격관리·브랜드별차등'!I3:I1000,"⏭ SKIP")</f>
        <v>0</v>
      </c>
      <c r="F9" s="8" t="str">
        <f t="shared" si="0"/>
        <v>0.0%</v>
      </c>
    </row>
    <row r="10" spans="1:6" ht="20" customHeight="1">
      <c r="A10" s="9" t="s">
        <v>63</v>
      </c>
      <c r="B10" s="10">
        <f>COUNTA('📦 매장별재고확인'!A3:A1000)</f>
        <v>8</v>
      </c>
      <c r="C10" s="10">
        <f>COUNTIF('📦 매장별재고확인'!I3:I1000,"✅ PASS")</f>
        <v>0</v>
      </c>
      <c r="D10" s="10">
        <f>COUNTIF('📦 매장별재고확인'!I3:I1000,"❌ FAIL")</f>
        <v>0</v>
      </c>
      <c r="E10" s="10">
        <f>COUNTIF('📦 매장별재고확인'!I3:I1000,"⏭ SKIP")</f>
        <v>0</v>
      </c>
      <c r="F10" s="10" t="str">
        <f t="shared" si="0"/>
        <v>0.0%</v>
      </c>
    </row>
    <row r="11" spans="1:6" ht="20" customHeight="1">
      <c r="A11" s="7" t="s">
        <v>64</v>
      </c>
      <c r="B11" s="8">
        <f>COUNTA('🚚 발주확인·발송처리·알림'!A3:A1000)</f>
        <v>10</v>
      </c>
      <c r="C11" s="8">
        <f>COUNTIF('🚚 발주확인·발송처리·알림'!I3:I1000,"✅ PASS")</f>
        <v>0</v>
      </c>
      <c r="D11" s="8">
        <f>COUNTIF('🚚 발주확인·발송처리·알림'!I3:I1000,"❌ FAIL")</f>
        <v>0</v>
      </c>
      <c r="E11" s="8">
        <f>COUNTIF('🚚 발주확인·발송처리·알림'!I3:I1000,"⏭ SKIP")</f>
        <v>0</v>
      </c>
      <c r="F11" s="8" t="str">
        <f t="shared" si="0"/>
        <v>0.0%</v>
      </c>
    </row>
    <row r="12" spans="1:6" ht="20" customHeight="1">
      <c r="A12" s="9" t="s">
        <v>65</v>
      </c>
      <c r="B12" s="10">
        <f>COUNTA('📅 월마감·매입관리'!A3:A1000)</f>
        <v>8</v>
      </c>
      <c r="C12" s="10">
        <f>COUNTIF('📅 월마감·매입관리'!I3:I1000,"✅ PASS")</f>
        <v>0</v>
      </c>
      <c r="D12" s="10">
        <f>COUNTIF('📅 월마감·매입관리'!I3:I1000,"❌ FAIL")</f>
        <v>0</v>
      </c>
      <c r="E12" s="10">
        <f>COUNTIF('📅 월마감·매입관리'!I3:I1000,"⏭ SKIP")</f>
        <v>0</v>
      </c>
      <c r="F12" s="10" t="str">
        <f t="shared" si="0"/>
        <v>0.0%</v>
      </c>
    </row>
    <row r="13" spans="1:6">
      <c r="A13" s="11" t="s">
        <v>66</v>
      </c>
      <c r="B13" s="12">
        <f>SUM(B3:B12)</f>
        <v>111</v>
      </c>
      <c r="C13" s="12">
        <f>SUM(C3:C12)</f>
        <v>0</v>
      </c>
      <c r="D13" s="12">
        <f>SUM(D3:D12)</f>
        <v>0</v>
      </c>
      <c r="E13" s="12">
        <f>SUM(E3:E12)</f>
        <v>0</v>
      </c>
      <c r="F13" s="12" t="str">
        <f t="shared" si="0"/>
        <v>0.0%</v>
      </c>
    </row>
  </sheetData>
  <mergeCells count="1">
    <mergeCell ref="A1:F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showGridLines="0" workbookViewId="0">
      <pane ySplit="2" topLeftCell="A3" activePane="bottomLeft" state="frozen"/>
      <selection pane="bottomLeft" activeCell="F24" sqref="F24"/>
    </sheetView>
  </sheetViews>
  <sheetFormatPr baseColWidth="10" defaultColWidth="8.83203125" defaultRowHeight="17"/>
  <cols>
    <col min="1" max="1" width="8.33203125" bestFit="1" customWidth="1"/>
    <col min="2" max="2" width="10" bestFit="1" customWidth="1"/>
    <col min="3" max="3" width="24" bestFit="1" customWidth="1"/>
    <col min="4" max="4" width="5" bestFit="1" customWidth="1"/>
    <col min="5" max="5" width="27" bestFit="1" customWidth="1"/>
    <col min="6" max="6" width="40.5" bestFit="1" customWidth="1"/>
    <col min="7" max="7" width="32" customWidth="1"/>
    <col min="8" max="8" width="8.5" bestFit="1" customWidth="1"/>
    <col min="9" max="10" width="5" bestFit="1" customWidth="1"/>
  </cols>
  <sheetData>
    <row r="1" spans="1:10">
      <c r="A1" s="26" t="s">
        <v>67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117">
      <c r="A3" s="14" t="s">
        <v>77</v>
      </c>
      <c r="B3" s="15" t="s">
        <v>34</v>
      </c>
      <c r="C3" s="15" t="s">
        <v>78</v>
      </c>
      <c r="D3" s="14" t="s">
        <v>79</v>
      </c>
      <c r="E3" s="15" t="s">
        <v>80</v>
      </c>
      <c r="F3" s="15" t="s">
        <v>81</v>
      </c>
      <c r="G3" s="15" t="s">
        <v>82</v>
      </c>
      <c r="H3" s="15"/>
      <c r="I3" s="14"/>
      <c r="J3" s="15"/>
    </row>
    <row r="4" spans="1:10" ht="39">
      <c r="A4" s="16" t="s">
        <v>83</v>
      </c>
      <c r="B4" s="17" t="s">
        <v>34</v>
      </c>
      <c r="C4" s="17" t="s">
        <v>84</v>
      </c>
      <c r="D4" s="16" t="s">
        <v>79</v>
      </c>
      <c r="E4" s="17" t="s">
        <v>85</v>
      </c>
      <c r="F4" s="17" t="s">
        <v>86</v>
      </c>
      <c r="G4" s="17" t="s">
        <v>87</v>
      </c>
      <c r="H4" s="17"/>
      <c r="I4" s="16"/>
      <c r="J4" s="17"/>
    </row>
    <row r="5" spans="1:10" ht="26">
      <c r="A5" s="14" t="s">
        <v>88</v>
      </c>
      <c r="B5" s="15" t="s">
        <v>34</v>
      </c>
      <c r="C5" s="15" t="s">
        <v>89</v>
      </c>
      <c r="D5" s="14" t="s">
        <v>79</v>
      </c>
      <c r="E5" s="15" t="s">
        <v>90</v>
      </c>
      <c r="F5" s="15" t="s">
        <v>91</v>
      </c>
      <c r="G5" s="15" t="s">
        <v>92</v>
      </c>
      <c r="H5" s="15"/>
      <c r="I5" s="14"/>
      <c r="J5" s="15"/>
    </row>
    <row r="6" spans="1:10" ht="78">
      <c r="A6" s="16" t="s">
        <v>93</v>
      </c>
      <c r="B6" s="17" t="s">
        <v>94</v>
      </c>
      <c r="C6" s="17" t="s">
        <v>95</v>
      </c>
      <c r="D6" s="16" t="s">
        <v>79</v>
      </c>
      <c r="E6" s="17" t="s">
        <v>96</v>
      </c>
      <c r="F6" s="17" t="s">
        <v>97</v>
      </c>
      <c r="G6" s="17" t="s">
        <v>98</v>
      </c>
      <c r="H6" s="17"/>
      <c r="I6" s="16"/>
      <c r="J6" s="17"/>
    </row>
    <row r="7" spans="1:10" ht="26">
      <c r="A7" s="14" t="s">
        <v>99</v>
      </c>
      <c r="B7" s="15" t="s">
        <v>94</v>
      </c>
      <c r="C7" s="15" t="s">
        <v>100</v>
      </c>
      <c r="D7" s="14" t="s">
        <v>79</v>
      </c>
      <c r="E7" s="15" t="s">
        <v>101</v>
      </c>
      <c r="F7" s="15" t="s">
        <v>102</v>
      </c>
      <c r="G7" s="15" t="s">
        <v>103</v>
      </c>
      <c r="H7" s="15"/>
      <c r="I7" s="14"/>
      <c r="J7" s="15"/>
    </row>
    <row r="8" spans="1:10" ht="143">
      <c r="A8" s="16" t="s">
        <v>104</v>
      </c>
      <c r="B8" s="17" t="s">
        <v>36</v>
      </c>
      <c r="C8" s="17" t="s">
        <v>105</v>
      </c>
      <c r="D8" s="16" t="s">
        <v>79</v>
      </c>
      <c r="E8" s="17" t="s">
        <v>106</v>
      </c>
      <c r="F8" s="17" t="s">
        <v>107</v>
      </c>
      <c r="G8" s="17" t="s">
        <v>108</v>
      </c>
      <c r="H8" s="17"/>
      <c r="I8" s="16"/>
      <c r="J8" s="17"/>
    </row>
    <row r="9" spans="1:10" ht="26">
      <c r="A9" s="14" t="s">
        <v>109</v>
      </c>
      <c r="B9" s="15" t="s">
        <v>36</v>
      </c>
      <c r="C9" s="15" t="s">
        <v>110</v>
      </c>
      <c r="D9" s="14" t="s">
        <v>79</v>
      </c>
      <c r="E9" s="15" t="s">
        <v>111</v>
      </c>
      <c r="F9" s="15" t="s">
        <v>112</v>
      </c>
      <c r="G9" s="15" t="s">
        <v>113</v>
      </c>
      <c r="H9" s="15"/>
      <c r="I9" s="14"/>
      <c r="J9" s="15"/>
    </row>
    <row r="10" spans="1:10" ht="26">
      <c r="A10" s="16" t="s">
        <v>114</v>
      </c>
      <c r="B10" s="17" t="s">
        <v>36</v>
      </c>
      <c r="C10" s="17" t="s">
        <v>115</v>
      </c>
      <c r="D10" s="16" t="s">
        <v>79</v>
      </c>
      <c r="E10" s="17" t="s">
        <v>111</v>
      </c>
      <c r="F10" s="17" t="s">
        <v>116</v>
      </c>
      <c r="G10" s="17" t="s">
        <v>117</v>
      </c>
      <c r="H10" s="17"/>
      <c r="I10" s="16"/>
      <c r="J10" s="17"/>
    </row>
    <row r="11" spans="1:10" ht="26">
      <c r="A11" s="14" t="s">
        <v>118</v>
      </c>
      <c r="B11" s="15" t="s">
        <v>36</v>
      </c>
      <c r="C11" s="15" t="s">
        <v>119</v>
      </c>
      <c r="D11" s="14" t="s">
        <v>79</v>
      </c>
      <c r="E11" s="15" t="s">
        <v>111</v>
      </c>
      <c r="F11" s="15" t="s">
        <v>120</v>
      </c>
      <c r="G11" s="15" t="s">
        <v>121</v>
      </c>
      <c r="H11" s="15"/>
      <c r="I11" s="14"/>
      <c r="J11" s="15"/>
    </row>
    <row r="12" spans="1:10" ht="78">
      <c r="A12" s="16" t="s">
        <v>122</v>
      </c>
      <c r="B12" s="17" t="s">
        <v>36</v>
      </c>
      <c r="C12" s="17" t="s">
        <v>123</v>
      </c>
      <c r="D12" s="16" t="s">
        <v>79</v>
      </c>
      <c r="E12" s="17" t="s">
        <v>124</v>
      </c>
      <c r="F12" s="17" t="s">
        <v>125</v>
      </c>
      <c r="G12" s="17" t="s">
        <v>126</v>
      </c>
      <c r="H12" s="17"/>
      <c r="I12" s="16"/>
      <c r="J12" s="17"/>
    </row>
    <row r="13" spans="1:10" ht="26">
      <c r="A13" s="14" t="s">
        <v>127</v>
      </c>
      <c r="B13" s="15" t="s">
        <v>36</v>
      </c>
      <c r="C13" s="15" t="s">
        <v>128</v>
      </c>
      <c r="D13" s="14" t="s">
        <v>79</v>
      </c>
      <c r="E13" s="15" t="s">
        <v>129</v>
      </c>
      <c r="F13" s="15" t="s">
        <v>130</v>
      </c>
      <c r="G13" s="15" t="s">
        <v>131</v>
      </c>
      <c r="H13" s="15"/>
      <c r="I13" s="14"/>
      <c r="J13" s="15"/>
    </row>
    <row r="14" spans="1:10" ht="117">
      <c r="A14" s="16" t="s">
        <v>132</v>
      </c>
      <c r="B14" s="17" t="s">
        <v>38</v>
      </c>
      <c r="C14" s="17" t="s">
        <v>133</v>
      </c>
      <c r="D14" s="16" t="s">
        <v>79</v>
      </c>
      <c r="E14" s="17" t="s">
        <v>134</v>
      </c>
      <c r="F14" s="17" t="s">
        <v>135</v>
      </c>
      <c r="G14" s="17" t="s">
        <v>136</v>
      </c>
      <c r="H14" s="17"/>
      <c r="I14" s="16"/>
      <c r="J14" s="17"/>
    </row>
    <row r="15" spans="1:10" ht="26">
      <c r="A15" s="14" t="s">
        <v>137</v>
      </c>
      <c r="B15" s="15" t="s">
        <v>38</v>
      </c>
      <c r="C15" s="15" t="s">
        <v>138</v>
      </c>
      <c r="D15" s="14" t="s">
        <v>79</v>
      </c>
      <c r="E15" s="15" t="s">
        <v>139</v>
      </c>
      <c r="F15" s="15" t="s">
        <v>140</v>
      </c>
      <c r="G15" s="15" t="s">
        <v>141</v>
      </c>
      <c r="H15" s="15"/>
      <c r="I15" s="14"/>
      <c r="J15" s="15"/>
    </row>
    <row r="16" spans="1:10" ht="26">
      <c r="A16" s="16" t="s">
        <v>142</v>
      </c>
      <c r="B16" s="17" t="s">
        <v>38</v>
      </c>
      <c r="C16" s="17" t="s">
        <v>143</v>
      </c>
      <c r="D16" s="16" t="s">
        <v>79</v>
      </c>
      <c r="E16" s="17" t="s">
        <v>139</v>
      </c>
      <c r="F16" s="17" t="s">
        <v>144</v>
      </c>
      <c r="G16" s="17" t="s">
        <v>145</v>
      </c>
      <c r="H16" s="17"/>
      <c r="I16" s="16"/>
      <c r="J16" s="17"/>
    </row>
    <row r="17" spans="1:10" ht="65">
      <c r="A17" s="14" t="s">
        <v>146</v>
      </c>
      <c r="B17" s="15" t="s">
        <v>40</v>
      </c>
      <c r="C17" s="15" t="s">
        <v>147</v>
      </c>
      <c r="D17" s="14" t="s">
        <v>79</v>
      </c>
      <c r="E17" s="15" t="s">
        <v>148</v>
      </c>
      <c r="F17" s="15" t="s">
        <v>149</v>
      </c>
      <c r="G17" s="15" t="s">
        <v>150</v>
      </c>
      <c r="H17" s="15"/>
      <c r="I17" s="14"/>
      <c r="J17" s="15"/>
    </row>
    <row r="18" spans="1:10" ht="39">
      <c r="A18" s="16" t="s">
        <v>151</v>
      </c>
      <c r="B18" s="17" t="s">
        <v>40</v>
      </c>
      <c r="C18" s="17" t="s">
        <v>152</v>
      </c>
      <c r="D18" s="16" t="s">
        <v>79</v>
      </c>
      <c r="E18" s="17" t="s">
        <v>153</v>
      </c>
      <c r="F18" s="17" t="s">
        <v>154</v>
      </c>
      <c r="G18" s="17" t="s">
        <v>155</v>
      </c>
      <c r="H18" s="17"/>
      <c r="I18" s="16"/>
      <c r="J18" s="17"/>
    </row>
    <row r="19" spans="1:10" ht="26">
      <c r="A19" s="14" t="s">
        <v>156</v>
      </c>
      <c r="B19" s="15" t="s">
        <v>40</v>
      </c>
      <c r="C19" s="15" t="s">
        <v>157</v>
      </c>
      <c r="D19" s="14" t="s">
        <v>79</v>
      </c>
      <c r="E19" s="15" t="s">
        <v>158</v>
      </c>
      <c r="F19" s="15" t="s">
        <v>159</v>
      </c>
      <c r="G19" s="15" t="s">
        <v>160</v>
      </c>
      <c r="H19" s="15"/>
      <c r="I19" s="14"/>
      <c r="J19" s="15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showGridLines="0" workbookViewId="0">
      <pane ySplit="2" topLeftCell="A3" activePane="bottomLeft" state="frozen"/>
      <selection pane="bottomLeft" activeCell="N6" sqref="N6"/>
    </sheetView>
  </sheetViews>
  <sheetFormatPr baseColWidth="10" defaultColWidth="8.83203125" defaultRowHeight="17"/>
  <cols>
    <col min="1" max="1" width="8.33203125" bestFit="1" customWidth="1"/>
    <col min="2" max="2" width="5" bestFit="1" customWidth="1"/>
    <col min="3" max="3" width="25.33203125" bestFit="1" customWidth="1"/>
    <col min="4" max="4" width="5" bestFit="1" customWidth="1"/>
    <col min="5" max="5" width="28" customWidth="1"/>
    <col min="6" max="6" width="32.83203125" bestFit="1" customWidth="1"/>
    <col min="7" max="7" width="30.83203125" bestFit="1" customWidth="1"/>
    <col min="8" max="8" width="8.5" bestFit="1" customWidth="1"/>
    <col min="9" max="10" width="5" bestFit="1" customWidth="1"/>
  </cols>
  <sheetData>
    <row r="1" spans="1:10">
      <c r="A1" s="27" t="s">
        <v>161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39">
      <c r="A3" s="14" t="s">
        <v>162</v>
      </c>
      <c r="B3" s="15" t="s">
        <v>163</v>
      </c>
      <c r="C3" s="15" t="s">
        <v>164</v>
      </c>
      <c r="D3" s="14" t="s">
        <v>165</v>
      </c>
      <c r="E3" s="15" t="s">
        <v>166</v>
      </c>
      <c r="F3" s="15" t="s">
        <v>167</v>
      </c>
      <c r="G3" s="15" t="s">
        <v>168</v>
      </c>
      <c r="H3" s="15"/>
      <c r="I3" s="14"/>
      <c r="J3" s="15"/>
    </row>
    <row r="4" spans="1:10" ht="91">
      <c r="A4" s="16" t="s">
        <v>169</v>
      </c>
      <c r="B4" s="17" t="s">
        <v>163</v>
      </c>
      <c r="C4" s="17" t="s">
        <v>170</v>
      </c>
      <c r="D4" s="16" t="s">
        <v>165</v>
      </c>
      <c r="E4" s="17" t="s">
        <v>171</v>
      </c>
      <c r="F4" s="17" t="s">
        <v>172</v>
      </c>
      <c r="G4" s="17" t="s">
        <v>173</v>
      </c>
      <c r="H4" s="17"/>
      <c r="I4" s="16"/>
      <c r="J4" s="17"/>
    </row>
    <row r="5" spans="1:10" ht="39">
      <c r="A5" s="14" t="s">
        <v>174</v>
      </c>
      <c r="B5" s="15" t="s">
        <v>163</v>
      </c>
      <c r="C5" s="15" t="s">
        <v>175</v>
      </c>
      <c r="D5" s="14" t="s">
        <v>165</v>
      </c>
      <c r="E5" s="15" t="s">
        <v>176</v>
      </c>
      <c r="F5" s="15" t="s">
        <v>177</v>
      </c>
      <c r="G5" s="15" t="s">
        <v>178</v>
      </c>
      <c r="H5" s="15"/>
      <c r="I5" s="14"/>
      <c r="J5" s="15"/>
    </row>
    <row r="6" spans="1:10" ht="39">
      <c r="A6" s="16" t="s">
        <v>179</v>
      </c>
      <c r="B6" s="17" t="s">
        <v>163</v>
      </c>
      <c r="C6" s="17" t="s">
        <v>180</v>
      </c>
      <c r="D6" s="16" t="s">
        <v>165</v>
      </c>
      <c r="E6" s="17" t="s">
        <v>176</v>
      </c>
      <c r="F6" s="17" t="s">
        <v>181</v>
      </c>
      <c r="G6" s="17" t="s">
        <v>182</v>
      </c>
      <c r="H6" s="17"/>
      <c r="I6" s="16"/>
      <c r="J6" s="17"/>
    </row>
    <row r="7" spans="1:10" ht="39">
      <c r="A7" s="14" t="s">
        <v>183</v>
      </c>
      <c r="B7" s="15" t="s">
        <v>163</v>
      </c>
      <c r="C7" s="15" t="s">
        <v>184</v>
      </c>
      <c r="D7" s="14" t="s">
        <v>165</v>
      </c>
      <c r="E7" s="15" t="s">
        <v>176</v>
      </c>
      <c r="F7" s="15" t="s">
        <v>185</v>
      </c>
      <c r="G7" s="15" t="s">
        <v>186</v>
      </c>
      <c r="H7" s="15"/>
      <c r="I7" s="14"/>
      <c r="J7" s="15"/>
    </row>
    <row r="8" spans="1:10" ht="26">
      <c r="A8" s="16" t="s">
        <v>187</v>
      </c>
      <c r="B8" s="17" t="s">
        <v>163</v>
      </c>
      <c r="C8" s="17" t="s">
        <v>188</v>
      </c>
      <c r="D8" s="16" t="s">
        <v>165</v>
      </c>
      <c r="E8" s="17" t="s">
        <v>189</v>
      </c>
      <c r="F8" s="17" t="s">
        <v>190</v>
      </c>
      <c r="G8" s="17" t="s">
        <v>191</v>
      </c>
      <c r="H8" s="17"/>
      <c r="I8" s="16"/>
      <c r="J8" s="17"/>
    </row>
    <row r="9" spans="1:10" ht="26">
      <c r="A9" s="14" t="s">
        <v>192</v>
      </c>
      <c r="B9" s="15" t="s">
        <v>163</v>
      </c>
      <c r="C9" s="15" t="s">
        <v>193</v>
      </c>
      <c r="D9" s="14" t="s">
        <v>165</v>
      </c>
      <c r="E9" s="15" t="s">
        <v>194</v>
      </c>
      <c r="F9" s="15" t="s">
        <v>195</v>
      </c>
      <c r="G9" s="15" t="s">
        <v>196</v>
      </c>
      <c r="H9" s="15"/>
      <c r="I9" s="14"/>
      <c r="J9" s="15"/>
    </row>
    <row r="10" spans="1:10" ht="52">
      <c r="A10" s="16" t="s">
        <v>197</v>
      </c>
      <c r="B10" s="17" t="s">
        <v>163</v>
      </c>
      <c r="C10" s="17" t="s">
        <v>198</v>
      </c>
      <c r="D10" s="16" t="s">
        <v>165</v>
      </c>
      <c r="E10" s="17" t="s">
        <v>199</v>
      </c>
      <c r="F10" s="17" t="s">
        <v>200</v>
      </c>
      <c r="G10" s="17" t="s">
        <v>201</v>
      </c>
      <c r="H10" s="17"/>
      <c r="I10" s="16"/>
      <c r="J10" s="17"/>
    </row>
    <row r="11" spans="1:10" ht="26">
      <c r="A11" s="14" t="s">
        <v>202</v>
      </c>
      <c r="B11" s="15" t="s">
        <v>163</v>
      </c>
      <c r="C11" s="15" t="s">
        <v>203</v>
      </c>
      <c r="D11" s="14" t="s">
        <v>165</v>
      </c>
      <c r="E11" s="15" t="s">
        <v>204</v>
      </c>
      <c r="F11" s="15" t="s">
        <v>205</v>
      </c>
      <c r="G11" s="15" t="s">
        <v>206</v>
      </c>
      <c r="H11" s="15"/>
      <c r="I11" s="14"/>
      <c r="J11" s="15"/>
    </row>
    <row r="12" spans="1:10" ht="26">
      <c r="A12" s="16" t="s">
        <v>207</v>
      </c>
      <c r="B12" s="17" t="s">
        <v>163</v>
      </c>
      <c r="C12" s="17" t="s">
        <v>208</v>
      </c>
      <c r="D12" s="16" t="s">
        <v>165</v>
      </c>
      <c r="E12" s="17" t="s">
        <v>209</v>
      </c>
      <c r="F12" s="17" t="s">
        <v>210</v>
      </c>
      <c r="G12" s="17" t="s">
        <v>211</v>
      </c>
      <c r="H12" s="17"/>
      <c r="I12" s="16"/>
      <c r="J12" s="17"/>
    </row>
    <row r="13" spans="1:10" ht="26">
      <c r="A13" s="14" t="s">
        <v>212</v>
      </c>
      <c r="B13" s="15" t="s">
        <v>163</v>
      </c>
      <c r="C13" s="15" t="s">
        <v>213</v>
      </c>
      <c r="D13" s="14" t="s">
        <v>165</v>
      </c>
      <c r="E13" s="15" t="s">
        <v>214</v>
      </c>
      <c r="F13" s="15" t="s">
        <v>215</v>
      </c>
      <c r="G13" s="15" t="s">
        <v>216</v>
      </c>
      <c r="H13" s="15"/>
      <c r="I13" s="14"/>
      <c r="J13" s="15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>
      <pane ySplit="2" topLeftCell="A3" activePane="bottomLeft" state="frozen"/>
      <selection pane="bottomLeft" activeCell="G34" sqref="G34"/>
    </sheetView>
  </sheetViews>
  <sheetFormatPr baseColWidth="10" defaultColWidth="9.83203125" defaultRowHeight="17"/>
  <cols>
    <col min="1" max="1" width="8.33203125" bestFit="1" customWidth="1"/>
    <col min="2" max="2" width="8.5" bestFit="1" customWidth="1"/>
    <col min="3" max="3" width="10" bestFit="1" customWidth="1"/>
    <col min="4" max="4" width="5" bestFit="1" customWidth="1"/>
    <col min="5" max="5" width="20" customWidth="1"/>
    <col min="6" max="6" width="28.5" bestFit="1" customWidth="1"/>
    <col min="7" max="7" width="24.83203125" bestFit="1" customWidth="1"/>
    <col min="8" max="8" width="8.5" bestFit="1" customWidth="1"/>
    <col min="9" max="10" width="5" bestFit="1" customWidth="1"/>
  </cols>
  <sheetData>
    <row r="1" spans="1:10">
      <c r="A1" s="28" t="s">
        <v>217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52">
      <c r="A3" s="14" t="s">
        <v>218</v>
      </c>
      <c r="B3" s="15" t="s">
        <v>219</v>
      </c>
      <c r="C3" s="15" t="s">
        <v>220</v>
      </c>
      <c r="D3" s="14" t="s">
        <v>79</v>
      </c>
      <c r="E3" s="15" t="s">
        <v>221</v>
      </c>
      <c r="F3" s="15" t="s">
        <v>222</v>
      </c>
      <c r="G3" s="15" t="s">
        <v>223</v>
      </c>
      <c r="H3" s="15"/>
      <c r="I3" s="14"/>
      <c r="J3" s="15"/>
    </row>
    <row r="4" spans="1:10" ht="39">
      <c r="A4" s="16" t="s">
        <v>224</v>
      </c>
      <c r="B4" s="17" t="s">
        <v>219</v>
      </c>
      <c r="C4" s="17" t="s">
        <v>225</v>
      </c>
      <c r="D4" s="16" t="s">
        <v>79</v>
      </c>
      <c r="E4" s="17" t="s">
        <v>226</v>
      </c>
      <c r="F4" s="17" t="s">
        <v>227</v>
      </c>
      <c r="G4" s="17" t="s">
        <v>228</v>
      </c>
      <c r="H4" s="17"/>
      <c r="I4" s="16"/>
      <c r="J4" s="17"/>
    </row>
    <row r="5" spans="1:10" ht="26">
      <c r="A5" s="14" t="s">
        <v>229</v>
      </c>
      <c r="B5" s="15" t="s">
        <v>219</v>
      </c>
      <c r="C5" s="15" t="s">
        <v>230</v>
      </c>
      <c r="D5" s="14" t="s">
        <v>79</v>
      </c>
      <c r="E5" s="15" t="s">
        <v>231</v>
      </c>
      <c r="F5" s="15" t="s">
        <v>232</v>
      </c>
      <c r="G5" s="15" t="s">
        <v>233</v>
      </c>
      <c r="H5" s="15"/>
      <c r="I5" s="14"/>
      <c r="J5" s="15"/>
    </row>
    <row r="6" spans="1:10" ht="39">
      <c r="A6" s="16" t="s">
        <v>234</v>
      </c>
      <c r="B6" s="17" t="s">
        <v>219</v>
      </c>
      <c r="C6" s="17" t="s">
        <v>235</v>
      </c>
      <c r="D6" s="16" t="s">
        <v>79</v>
      </c>
      <c r="E6" s="17" t="s">
        <v>236</v>
      </c>
      <c r="F6" s="17" t="s">
        <v>237</v>
      </c>
      <c r="G6" s="17" t="s">
        <v>238</v>
      </c>
      <c r="H6" s="17"/>
      <c r="I6" s="16"/>
      <c r="J6" s="17"/>
    </row>
    <row r="7" spans="1:10" ht="52">
      <c r="A7" s="14" t="s">
        <v>239</v>
      </c>
      <c r="B7" s="15" t="s">
        <v>240</v>
      </c>
      <c r="C7" s="15" t="s">
        <v>241</v>
      </c>
      <c r="D7" s="14" t="s">
        <v>79</v>
      </c>
      <c r="E7" s="15" t="s">
        <v>242</v>
      </c>
      <c r="F7" s="15" t="s">
        <v>243</v>
      </c>
      <c r="G7" s="15" t="s">
        <v>244</v>
      </c>
      <c r="H7" s="15"/>
      <c r="I7" s="14"/>
      <c r="J7" s="15"/>
    </row>
    <row r="8" spans="1:10" ht="26">
      <c r="A8" s="16" t="s">
        <v>245</v>
      </c>
      <c r="B8" s="17" t="s">
        <v>240</v>
      </c>
      <c r="C8" s="17" t="s">
        <v>246</v>
      </c>
      <c r="D8" s="16" t="s">
        <v>79</v>
      </c>
      <c r="E8" s="17" t="s">
        <v>247</v>
      </c>
      <c r="F8" s="17" t="s">
        <v>248</v>
      </c>
      <c r="G8" s="17" t="s">
        <v>249</v>
      </c>
      <c r="H8" s="17"/>
      <c r="I8" s="16"/>
      <c r="J8" s="17"/>
    </row>
    <row r="9" spans="1:10" ht="39">
      <c r="A9" s="14" t="s">
        <v>250</v>
      </c>
      <c r="B9" s="15" t="s">
        <v>251</v>
      </c>
      <c r="C9" s="15" t="s">
        <v>252</v>
      </c>
      <c r="D9" s="14" t="s">
        <v>79</v>
      </c>
      <c r="E9" s="15" t="s">
        <v>253</v>
      </c>
      <c r="F9" s="15" t="s">
        <v>254</v>
      </c>
      <c r="G9" s="15" t="s">
        <v>255</v>
      </c>
      <c r="H9" s="15"/>
      <c r="I9" s="14"/>
      <c r="J9" s="15"/>
    </row>
    <row r="10" spans="1:10" ht="26">
      <c r="A10" s="16" t="s">
        <v>256</v>
      </c>
      <c r="B10" s="17" t="s">
        <v>219</v>
      </c>
      <c r="C10" s="17" t="s">
        <v>257</v>
      </c>
      <c r="D10" s="16" t="s">
        <v>79</v>
      </c>
      <c r="E10" s="17" t="s">
        <v>258</v>
      </c>
      <c r="F10" s="17" t="s">
        <v>259</v>
      </c>
      <c r="G10" s="17" t="s">
        <v>260</v>
      </c>
      <c r="H10" s="17"/>
      <c r="I10" s="16"/>
      <c r="J10" s="17"/>
    </row>
    <row r="11" spans="1:10" ht="26">
      <c r="A11" s="14" t="s">
        <v>261</v>
      </c>
      <c r="B11" s="15" t="s">
        <v>219</v>
      </c>
      <c r="C11" s="15" t="s">
        <v>262</v>
      </c>
      <c r="D11" s="14" t="s">
        <v>79</v>
      </c>
      <c r="E11" s="15" t="s">
        <v>258</v>
      </c>
      <c r="F11" s="15" t="s">
        <v>263</v>
      </c>
      <c r="G11" s="15" t="s">
        <v>264</v>
      </c>
      <c r="H11" s="15"/>
      <c r="I11" s="14"/>
      <c r="J11" s="15"/>
    </row>
    <row r="12" spans="1:10" ht="39">
      <c r="A12" s="16" t="s">
        <v>265</v>
      </c>
      <c r="B12" s="17" t="s">
        <v>266</v>
      </c>
      <c r="C12" s="17" t="s">
        <v>267</v>
      </c>
      <c r="D12" s="16" t="s">
        <v>79</v>
      </c>
      <c r="E12" s="17" t="s">
        <v>268</v>
      </c>
      <c r="F12" s="17" t="s">
        <v>269</v>
      </c>
      <c r="G12" s="17" t="s">
        <v>270</v>
      </c>
      <c r="H12" s="17"/>
      <c r="I12" s="16"/>
      <c r="J12" s="17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workbookViewId="0">
      <pane ySplit="2" topLeftCell="A3" activePane="bottomLeft" state="frozen"/>
      <selection pane="bottomLeft" activeCell="G21" sqref="G21"/>
    </sheetView>
  </sheetViews>
  <sheetFormatPr baseColWidth="10" defaultColWidth="8.83203125" defaultRowHeight="17"/>
  <cols>
    <col min="1" max="1" width="8.5" bestFit="1" customWidth="1"/>
    <col min="2" max="2" width="9.5" bestFit="1" customWidth="1"/>
    <col min="3" max="3" width="30.33203125" bestFit="1" customWidth="1"/>
    <col min="4" max="4" width="8.5" bestFit="1" customWidth="1"/>
    <col min="5" max="5" width="26.5" bestFit="1" customWidth="1"/>
    <col min="6" max="6" width="36.83203125" bestFit="1" customWidth="1"/>
    <col min="7" max="7" width="31.83203125" bestFit="1" customWidth="1"/>
    <col min="8" max="8" width="8.5" bestFit="1" customWidth="1"/>
    <col min="9" max="10" width="5" bestFit="1" customWidth="1"/>
  </cols>
  <sheetData>
    <row r="1" spans="1:10">
      <c r="A1" s="29" t="s">
        <v>271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39">
      <c r="A3" s="14" t="s">
        <v>272</v>
      </c>
      <c r="B3" s="15" t="s">
        <v>273</v>
      </c>
      <c r="C3" s="15" t="s">
        <v>274</v>
      </c>
      <c r="D3" s="14" t="s">
        <v>275</v>
      </c>
      <c r="E3" s="15" t="s">
        <v>276</v>
      </c>
      <c r="F3" s="15" t="s">
        <v>277</v>
      </c>
      <c r="G3" s="15" t="s">
        <v>278</v>
      </c>
      <c r="H3" s="15"/>
      <c r="I3" s="14"/>
      <c r="J3" s="15"/>
    </row>
    <row r="4" spans="1:10" ht="39">
      <c r="A4" s="16" t="s">
        <v>279</v>
      </c>
      <c r="B4" s="17" t="s">
        <v>273</v>
      </c>
      <c r="C4" s="17" t="s">
        <v>280</v>
      </c>
      <c r="D4" s="16" t="s">
        <v>275</v>
      </c>
      <c r="E4" s="17" t="s">
        <v>276</v>
      </c>
      <c r="F4" s="17" t="s">
        <v>281</v>
      </c>
      <c r="G4" s="17" t="s">
        <v>282</v>
      </c>
      <c r="H4" s="17"/>
      <c r="I4" s="16"/>
      <c r="J4" s="17"/>
    </row>
    <row r="5" spans="1:10" ht="26">
      <c r="A5" s="14" t="s">
        <v>283</v>
      </c>
      <c r="B5" s="15" t="s">
        <v>17</v>
      </c>
      <c r="C5" s="15" t="s">
        <v>284</v>
      </c>
      <c r="D5" s="14" t="s">
        <v>165</v>
      </c>
      <c r="E5" s="15" t="s">
        <v>285</v>
      </c>
      <c r="F5" s="15" t="s">
        <v>286</v>
      </c>
      <c r="G5" s="15" t="s">
        <v>287</v>
      </c>
      <c r="H5" s="15"/>
      <c r="I5" s="14"/>
      <c r="J5" s="15"/>
    </row>
    <row r="6" spans="1:10">
      <c r="A6" s="16" t="s">
        <v>288</v>
      </c>
      <c r="B6" s="17" t="s">
        <v>17</v>
      </c>
      <c r="C6" s="17" t="s">
        <v>289</v>
      </c>
      <c r="D6" s="16" t="s">
        <v>165</v>
      </c>
      <c r="E6" s="17" t="s">
        <v>290</v>
      </c>
      <c r="F6" s="17" t="s">
        <v>291</v>
      </c>
      <c r="G6" s="17" t="s">
        <v>292</v>
      </c>
      <c r="H6" s="17"/>
      <c r="I6" s="16"/>
      <c r="J6" s="17"/>
    </row>
    <row r="7" spans="1:10" ht="39">
      <c r="A7" s="14" t="s">
        <v>293</v>
      </c>
      <c r="B7" s="15" t="s">
        <v>294</v>
      </c>
      <c r="C7" s="15" t="s">
        <v>295</v>
      </c>
      <c r="D7" s="14" t="s">
        <v>79</v>
      </c>
      <c r="E7" s="15" t="s">
        <v>296</v>
      </c>
      <c r="F7" s="15" t="s">
        <v>297</v>
      </c>
      <c r="G7" s="15" t="s">
        <v>298</v>
      </c>
      <c r="H7" s="15"/>
      <c r="I7" s="14"/>
      <c r="J7" s="15"/>
    </row>
    <row r="8" spans="1:10" ht="26">
      <c r="A8" s="16" t="s">
        <v>299</v>
      </c>
      <c r="B8" s="17" t="s">
        <v>163</v>
      </c>
      <c r="C8" s="17" t="s">
        <v>300</v>
      </c>
      <c r="D8" s="16" t="s">
        <v>165</v>
      </c>
      <c r="E8" s="17" t="s">
        <v>301</v>
      </c>
      <c r="F8" s="17" t="s">
        <v>302</v>
      </c>
      <c r="G8" s="17" t="s">
        <v>303</v>
      </c>
      <c r="H8" s="17"/>
      <c r="I8" s="16"/>
      <c r="J8" s="17"/>
    </row>
    <row r="9" spans="1:10" ht="26">
      <c r="A9" s="14" t="s">
        <v>304</v>
      </c>
      <c r="B9" s="15" t="s">
        <v>163</v>
      </c>
      <c r="C9" s="15" t="s">
        <v>305</v>
      </c>
      <c r="D9" s="14" t="s">
        <v>165</v>
      </c>
      <c r="E9" s="15" t="s">
        <v>306</v>
      </c>
      <c r="F9" s="15" t="s">
        <v>307</v>
      </c>
      <c r="G9" s="15" t="s">
        <v>308</v>
      </c>
      <c r="H9" s="15"/>
      <c r="I9" s="14"/>
      <c r="J9" s="15"/>
    </row>
    <row r="10" spans="1:10" ht="26">
      <c r="A10" s="16" t="s">
        <v>309</v>
      </c>
      <c r="B10" s="17" t="s">
        <v>163</v>
      </c>
      <c r="C10" s="17" t="s">
        <v>310</v>
      </c>
      <c r="D10" s="16" t="s">
        <v>165</v>
      </c>
      <c r="E10" s="17" t="s">
        <v>306</v>
      </c>
      <c r="F10" s="17" t="s">
        <v>311</v>
      </c>
      <c r="G10" s="17" t="s">
        <v>312</v>
      </c>
      <c r="H10" s="17"/>
      <c r="I10" s="16"/>
      <c r="J10" s="17"/>
    </row>
    <row r="11" spans="1:10" ht="26">
      <c r="A11" s="14" t="s">
        <v>313</v>
      </c>
      <c r="B11" s="15" t="s">
        <v>314</v>
      </c>
      <c r="C11" s="15" t="s">
        <v>315</v>
      </c>
      <c r="D11" s="14" t="s">
        <v>275</v>
      </c>
      <c r="E11" s="15" t="s">
        <v>316</v>
      </c>
      <c r="F11" s="15" t="s">
        <v>317</v>
      </c>
      <c r="G11" s="15" t="s">
        <v>318</v>
      </c>
      <c r="H11" s="15"/>
      <c r="I11" s="14"/>
      <c r="J11" s="15"/>
    </row>
    <row r="12" spans="1:10" ht="39">
      <c r="A12" s="16" t="s">
        <v>319</v>
      </c>
      <c r="B12" s="17" t="s">
        <v>320</v>
      </c>
      <c r="C12" s="17" t="s">
        <v>321</v>
      </c>
      <c r="D12" s="16" t="s">
        <v>165</v>
      </c>
      <c r="E12" s="17" t="s">
        <v>322</v>
      </c>
      <c r="F12" s="17" t="s">
        <v>323</v>
      </c>
      <c r="G12" s="17" t="s">
        <v>324</v>
      </c>
      <c r="H12" s="17"/>
      <c r="I12" s="16"/>
      <c r="J12" s="17"/>
    </row>
    <row r="13" spans="1:10" ht="26">
      <c r="A13" s="14" t="s">
        <v>325</v>
      </c>
      <c r="B13" s="15" t="s">
        <v>326</v>
      </c>
      <c r="C13" s="15" t="s">
        <v>327</v>
      </c>
      <c r="D13" s="14" t="s">
        <v>79</v>
      </c>
      <c r="E13" s="15" t="s">
        <v>129</v>
      </c>
      <c r="F13" s="15" t="s">
        <v>328</v>
      </c>
      <c r="G13" s="15" t="s">
        <v>329</v>
      </c>
      <c r="H13" s="15"/>
      <c r="I13" s="14"/>
      <c r="J13" s="15"/>
    </row>
    <row r="14" spans="1:10" ht="26">
      <c r="A14" s="16" t="s">
        <v>330</v>
      </c>
      <c r="B14" s="17" t="s">
        <v>94</v>
      </c>
      <c r="C14" s="17" t="s">
        <v>331</v>
      </c>
      <c r="D14" s="16" t="s">
        <v>79</v>
      </c>
      <c r="E14" s="17" t="s">
        <v>332</v>
      </c>
      <c r="F14" s="17" t="s">
        <v>333</v>
      </c>
      <c r="G14" s="17" t="s">
        <v>334</v>
      </c>
      <c r="H14" s="17"/>
      <c r="I14" s="16"/>
      <c r="J14" s="17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showGridLines="0" workbookViewId="0">
      <pane ySplit="2" topLeftCell="A3" activePane="bottomLeft" state="frozen"/>
      <selection pane="bottomLeft" activeCell="M9" sqref="M9"/>
    </sheetView>
  </sheetViews>
  <sheetFormatPr baseColWidth="10" defaultColWidth="8.83203125" defaultRowHeight="17"/>
  <cols>
    <col min="1" max="1" width="8.5" bestFit="1" customWidth="1"/>
    <col min="2" max="2" width="10" bestFit="1" customWidth="1"/>
    <col min="3" max="3" width="21.33203125" bestFit="1" customWidth="1"/>
    <col min="4" max="4" width="8.5" bestFit="1" customWidth="1"/>
    <col min="5" max="5" width="23.6640625" bestFit="1" customWidth="1"/>
    <col min="6" max="6" width="41.1640625" bestFit="1" customWidth="1"/>
    <col min="7" max="7" width="32" customWidth="1"/>
    <col min="8" max="8" width="8.5" bestFit="1" customWidth="1"/>
    <col min="9" max="10" width="5" bestFit="1" customWidth="1"/>
  </cols>
  <sheetData>
    <row r="1" spans="1:10">
      <c r="A1" s="30" t="s">
        <v>335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39">
      <c r="A3" s="14" t="s">
        <v>336</v>
      </c>
      <c r="B3" s="15" t="s">
        <v>337</v>
      </c>
      <c r="C3" s="15" t="s">
        <v>338</v>
      </c>
      <c r="D3" s="14" t="s">
        <v>275</v>
      </c>
      <c r="E3" s="15" t="s">
        <v>276</v>
      </c>
      <c r="F3" s="15" t="s">
        <v>339</v>
      </c>
      <c r="G3" s="15" t="s">
        <v>340</v>
      </c>
      <c r="H3" s="15"/>
      <c r="I3" s="14"/>
      <c r="J3" s="15"/>
    </row>
    <row r="4" spans="1:10" ht="39">
      <c r="A4" s="16" t="s">
        <v>341</v>
      </c>
      <c r="B4" s="17" t="s">
        <v>342</v>
      </c>
      <c r="C4" s="17" t="s">
        <v>343</v>
      </c>
      <c r="D4" s="16" t="s">
        <v>79</v>
      </c>
      <c r="E4" s="17" t="s">
        <v>344</v>
      </c>
      <c r="F4" s="17" t="s">
        <v>345</v>
      </c>
      <c r="G4" s="17" t="s">
        <v>346</v>
      </c>
      <c r="H4" s="17"/>
      <c r="I4" s="16"/>
      <c r="J4" s="17"/>
    </row>
    <row r="5" spans="1:10" ht="26">
      <c r="A5" s="14" t="s">
        <v>347</v>
      </c>
      <c r="B5" s="15" t="s">
        <v>348</v>
      </c>
      <c r="C5" s="15" t="s">
        <v>349</v>
      </c>
      <c r="D5" s="14" t="s">
        <v>79</v>
      </c>
      <c r="E5" s="15" t="s">
        <v>350</v>
      </c>
      <c r="F5" s="15" t="s">
        <v>351</v>
      </c>
      <c r="G5" s="15" t="s">
        <v>352</v>
      </c>
      <c r="H5" s="15"/>
      <c r="I5" s="14"/>
      <c r="J5" s="15"/>
    </row>
    <row r="6" spans="1:10" ht="26">
      <c r="A6" s="16" t="s">
        <v>353</v>
      </c>
      <c r="B6" s="17" t="s">
        <v>354</v>
      </c>
      <c r="C6" s="17" t="s">
        <v>355</v>
      </c>
      <c r="D6" s="16" t="s">
        <v>165</v>
      </c>
      <c r="E6" s="17" t="s">
        <v>356</v>
      </c>
      <c r="F6" s="17" t="s">
        <v>357</v>
      </c>
      <c r="G6" s="17" t="s">
        <v>358</v>
      </c>
      <c r="H6" s="17"/>
      <c r="I6" s="16"/>
      <c r="J6" s="17"/>
    </row>
    <row r="7" spans="1:10" ht="39">
      <c r="A7" s="14" t="s">
        <v>359</v>
      </c>
      <c r="B7" s="15" t="s">
        <v>360</v>
      </c>
      <c r="C7" s="15" t="s">
        <v>361</v>
      </c>
      <c r="D7" s="14" t="s">
        <v>79</v>
      </c>
      <c r="E7" s="15" t="s">
        <v>362</v>
      </c>
      <c r="F7" s="15" t="s">
        <v>363</v>
      </c>
      <c r="G7" s="15" t="s">
        <v>364</v>
      </c>
      <c r="H7" s="15"/>
      <c r="I7" s="14"/>
      <c r="J7" s="15"/>
    </row>
    <row r="8" spans="1:10" ht="26">
      <c r="A8" s="16" t="s">
        <v>365</v>
      </c>
      <c r="B8" s="17" t="s">
        <v>366</v>
      </c>
      <c r="C8" s="17" t="s">
        <v>367</v>
      </c>
      <c r="D8" s="16" t="s">
        <v>79</v>
      </c>
      <c r="E8" s="17" t="s">
        <v>219</v>
      </c>
      <c r="F8" s="17" t="s">
        <v>368</v>
      </c>
      <c r="G8" s="17" t="s">
        <v>369</v>
      </c>
      <c r="H8" s="17"/>
      <c r="I8" s="16"/>
      <c r="J8" s="17"/>
    </row>
    <row r="9" spans="1:10" ht="39">
      <c r="A9" s="14" t="s">
        <v>370</v>
      </c>
      <c r="B9" s="15" t="s">
        <v>371</v>
      </c>
      <c r="C9" s="15" t="s">
        <v>372</v>
      </c>
      <c r="D9" s="14" t="s">
        <v>165</v>
      </c>
      <c r="E9" s="15" t="s">
        <v>373</v>
      </c>
      <c r="F9" s="15" t="s">
        <v>374</v>
      </c>
      <c r="G9" s="15" t="s">
        <v>375</v>
      </c>
      <c r="H9" s="15"/>
      <c r="I9" s="14"/>
      <c r="J9" s="15"/>
    </row>
    <row r="10" spans="1:10" ht="26">
      <c r="A10" s="16" t="s">
        <v>376</v>
      </c>
      <c r="B10" s="17" t="s">
        <v>377</v>
      </c>
      <c r="C10" s="17" t="s">
        <v>378</v>
      </c>
      <c r="D10" s="16" t="s">
        <v>79</v>
      </c>
      <c r="E10" s="17" t="s">
        <v>379</v>
      </c>
      <c r="F10" s="17" t="s">
        <v>380</v>
      </c>
      <c r="G10" s="17" t="s">
        <v>381</v>
      </c>
      <c r="H10" s="17"/>
      <c r="I10" s="16"/>
      <c r="J10" s="17"/>
    </row>
    <row r="11" spans="1:10" ht="26">
      <c r="A11" s="14" t="s">
        <v>382</v>
      </c>
      <c r="B11" s="15" t="s">
        <v>383</v>
      </c>
      <c r="C11" s="15" t="s">
        <v>384</v>
      </c>
      <c r="D11" s="14" t="s">
        <v>165</v>
      </c>
      <c r="E11" s="15" t="s">
        <v>385</v>
      </c>
      <c r="F11" s="15" t="s">
        <v>386</v>
      </c>
      <c r="G11" s="15" t="s">
        <v>387</v>
      </c>
      <c r="H11" s="15"/>
      <c r="I11" s="14"/>
      <c r="J11" s="15"/>
    </row>
    <row r="12" spans="1:10" ht="39">
      <c r="A12" s="16" t="s">
        <v>388</v>
      </c>
      <c r="B12" s="17" t="s">
        <v>389</v>
      </c>
      <c r="C12" s="17" t="s">
        <v>390</v>
      </c>
      <c r="D12" s="16" t="s">
        <v>79</v>
      </c>
      <c r="E12" s="17" t="s">
        <v>391</v>
      </c>
      <c r="F12" s="17" t="s">
        <v>392</v>
      </c>
      <c r="G12" s="17" t="s">
        <v>393</v>
      </c>
      <c r="H12" s="17"/>
      <c r="I12" s="16"/>
      <c r="J12" s="17"/>
    </row>
    <row r="13" spans="1:10" ht="39">
      <c r="A13" s="14" t="s">
        <v>394</v>
      </c>
      <c r="B13" s="15" t="s">
        <v>395</v>
      </c>
      <c r="C13" s="15" t="s">
        <v>396</v>
      </c>
      <c r="D13" s="14" t="s">
        <v>397</v>
      </c>
      <c r="E13" s="15" t="s">
        <v>398</v>
      </c>
      <c r="F13" s="15" t="s">
        <v>399</v>
      </c>
      <c r="G13" s="15" t="s">
        <v>400</v>
      </c>
      <c r="H13" s="15"/>
      <c r="I13" s="14"/>
      <c r="J13" s="15"/>
    </row>
    <row r="14" spans="1:10" ht="39">
      <c r="A14" s="16" t="s">
        <v>401</v>
      </c>
      <c r="B14" s="17" t="s">
        <v>402</v>
      </c>
      <c r="C14" s="17" t="s">
        <v>403</v>
      </c>
      <c r="D14" s="16" t="s">
        <v>79</v>
      </c>
      <c r="E14" s="17" t="s">
        <v>404</v>
      </c>
      <c r="F14" s="17" t="s">
        <v>405</v>
      </c>
      <c r="G14" s="17" t="s">
        <v>406</v>
      </c>
      <c r="H14" s="17"/>
      <c r="I14" s="16"/>
      <c r="J14" s="17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showGridLines="0" workbookViewId="0">
      <pane ySplit="2" topLeftCell="A3" activePane="bottomLeft" state="frozen"/>
      <selection pane="bottomLeft" activeCell="P8" sqref="P8"/>
    </sheetView>
  </sheetViews>
  <sheetFormatPr baseColWidth="10" defaultColWidth="8.83203125" defaultRowHeight="17"/>
  <cols>
    <col min="1" max="1" width="8.5" bestFit="1" customWidth="1"/>
    <col min="2" max="2" width="8" bestFit="1" customWidth="1"/>
    <col min="3" max="3" width="34" customWidth="1"/>
    <col min="4" max="4" width="5" bestFit="1" customWidth="1"/>
    <col min="5" max="5" width="32.5" bestFit="1" customWidth="1"/>
    <col min="6" max="6" width="46.1640625" bestFit="1" customWidth="1"/>
    <col min="7" max="7" width="57.5" bestFit="1" customWidth="1"/>
    <col min="8" max="8" width="8.5" bestFit="1" customWidth="1"/>
    <col min="9" max="10" width="5" bestFit="1" customWidth="1"/>
  </cols>
  <sheetData>
    <row r="1" spans="1:10">
      <c r="A1" s="31" t="s">
        <v>407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52">
      <c r="A3" s="14" t="s">
        <v>408</v>
      </c>
      <c r="B3" s="15" t="s">
        <v>409</v>
      </c>
      <c r="C3" s="15" t="s">
        <v>410</v>
      </c>
      <c r="D3" s="14" t="s">
        <v>79</v>
      </c>
      <c r="E3" s="15" t="s">
        <v>411</v>
      </c>
      <c r="F3" s="15" t="s">
        <v>412</v>
      </c>
      <c r="G3" s="15" t="s">
        <v>413</v>
      </c>
      <c r="H3" s="15"/>
      <c r="I3" s="14"/>
      <c r="J3" s="15"/>
    </row>
    <row r="4" spans="1:10" ht="52">
      <c r="A4" s="16" t="s">
        <v>414</v>
      </c>
      <c r="B4" s="17" t="s">
        <v>409</v>
      </c>
      <c r="C4" s="17" t="s">
        <v>415</v>
      </c>
      <c r="D4" s="16" t="s">
        <v>79</v>
      </c>
      <c r="E4" s="17" t="s">
        <v>416</v>
      </c>
      <c r="F4" s="17" t="s">
        <v>417</v>
      </c>
      <c r="G4" s="17" t="s">
        <v>418</v>
      </c>
      <c r="H4" s="17"/>
      <c r="I4" s="16"/>
      <c r="J4" s="17"/>
    </row>
    <row r="5" spans="1:10" ht="39">
      <c r="A5" s="14" t="s">
        <v>419</v>
      </c>
      <c r="B5" s="15" t="s">
        <v>409</v>
      </c>
      <c r="C5" s="15" t="s">
        <v>420</v>
      </c>
      <c r="D5" s="14" t="s">
        <v>79</v>
      </c>
      <c r="E5" s="15" t="s">
        <v>421</v>
      </c>
      <c r="F5" s="15" t="s">
        <v>422</v>
      </c>
      <c r="G5" s="15" t="s">
        <v>423</v>
      </c>
      <c r="H5" s="15"/>
      <c r="I5" s="14"/>
      <c r="J5" s="15"/>
    </row>
    <row r="6" spans="1:10" ht="39">
      <c r="A6" s="16" t="s">
        <v>424</v>
      </c>
      <c r="B6" s="17" t="s">
        <v>409</v>
      </c>
      <c r="C6" s="17" t="s">
        <v>425</v>
      </c>
      <c r="D6" s="16" t="s">
        <v>79</v>
      </c>
      <c r="E6" s="17" t="s">
        <v>426</v>
      </c>
      <c r="F6" s="17" t="s">
        <v>427</v>
      </c>
      <c r="G6" s="17" t="s">
        <v>428</v>
      </c>
      <c r="H6" s="17"/>
      <c r="I6" s="16"/>
      <c r="J6" s="17"/>
    </row>
    <row r="7" spans="1:10" ht="39">
      <c r="A7" s="14" t="s">
        <v>429</v>
      </c>
      <c r="B7" s="15" t="s">
        <v>409</v>
      </c>
      <c r="C7" s="15" t="s">
        <v>430</v>
      </c>
      <c r="D7" s="14" t="s">
        <v>79</v>
      </c>
      <c r="E7" s="15" t="s">
        <v>129</v>
      </c>
      <c r="F7" s="15" t="s">
        <v>431</v>
      </c>
      <c r="G7" s="15" t="s">
        <v>432</v>
      </c>
      <c r="H7" s="15"/>
      <c r="I7" s="14"/>
      <c r="J7" s="15"/>
    </row>
    <row r="8" spans="1:10" ht="26">
      <c r="A8" s="16" t="s">
        <v>433</v>
      </c>
      <c r="B8" s="17" t="s">
        <v>409</v>
      </c>
      <c r="C8" s="17" t="s">
        <v>434</v>
      </c>
      <c r="D8" s="16" t="s">
        <v>79</v>
      </c>
      <c r="E8" s="17" t="s">
        <v>435</v>
      </c>
      <c r="F8" s="17" t="s">
        <v>436</v>
      </c>
      <c r="G8" s="17" t="s">
        <v>437</v>
      </c>
      <c r="H8" s="17"/>
      <c r="I8" s="16"/>
      <c r="J8" s="17"/>
    </row>
    <row r="9" spans="1:10" ht="26">
      <c r="A9" s="14" t="s">
        <v>438</v>
      </c>
      <c r="B9" s="15" t="s">
        <v>409</v>
      </c>
      <c r="C9" s="15" t="s">
        <v>439</v>
      </c>
      <c r="D9" s="14" t="s">
        <v>79</v>
      </c>
      <c r="E9" s="15" t="s">
        <v>435</v>
      </c>
      <c r="F9" s="15" t="s">
        <v>440</v>
      </c>
      <c r="G9" s="15" t="s">
        <v>441</v>
      </c>
      <c r="H9" s="15"/>
      <c r="I9" s="14"/>
      <c r="J9" s="15"/>
    </row>
    <row r="10" spans="1:10" ht="26">
      <c r="A10" s="16" t="s">
        <v>442</v>
      </c>
      <c r="B10" s="17" t="s">
        <v>409</v>
      </c>
      <c r="C10" s="17" t="s">
        <v>443</v>
      </c>
      <c r="D10" s="16" t="s">
        <v>79</v>
      </c>
      <c r="E10" s="17" t="s">
        <v>435</v>
      </c>
      <c r="F10" s="17" t="s">
        <v>444</v>
      </c>
      <c r="G10" s="17" t="s">
        <v>445</v>
      </c>
      <c r="H10" s="17"/>
      <c r="I10" s="16"/>
      <c r="J10" s="17"/>
    </row>
    <row r="11" spans="1:10" ht="39">
      <c r="A11" s="14" t="s">
        <v>446</v>
      </c>
      <c r="B11" s="15" t="s">
        <v>409</v>
      </c>
      <c r="C11" s="15" t="s">
        <v>447</v>
      </c>
      <c r="D11" s="14" t="s">
        <v>79</v>
      </c>
      <c r="E11" s="15" t="s">
        <v>448</v>
      </c>
      <c r="F11" s="15" t="s">
        <v>449</v>
      </c>
      <c r="G11" s="15" t="s">
        <v>450</v>
      </c>
      <c r="H11" s="15"/>
      <c r="I11" s="14"/>
      <c r="J11" s="15"/>
    </row>
    <row r="12" spans="1:10" ht="39">
      <c r="A12" s="16" t="s">
        <v>451</v>
      </c>
      <c r="B12" s="17" t="s">
        <v>452</v>
      </c>
      <c r="C12" s="17" t="s">
        <v>453</v>
      </c>
      <c r="D12" s="16" t="s">
        <v>79</v>
      </c>
      <c r="E12" s="17" t="s">
        <v>454</v>
      </c>
      <c r="F12" s="17" t="s">
        <v>455</v>
      </c>
      <c r="G12" s="17" t="s">
        <v>456</v>
      </c>
      <c r="H12" s="17"/>
      <c r="I12" s="16"/>
      <c r="J12" s="17"/>
    </row>
    <row r="13" spans="1:10" ht="39">
      <c r="A13" s="14" t="s">
        <v>457</v>
      </c>
      <c r="B13" s="15" t="s">
        <v>452</v>
      </c>
      <c r="C13" s="15" t="s">
        <v>458</v>
      </c>
      <c r="D13" s="14" t="s">
        <v>79</v>
      </c>
      <c r="E13" s="15" t="s">
        <v>459</v>
      </c>
      <c r="F13" s="15" t="s">
        <v>460</v>
      </c>
      <c r="G13" s="15" t="s">
        <v>461</v>
      </c>
      <c r="H13" s="15"/>
      <c r="I13" s="14"/>
      <c r="J13" s="15"/>
    </row>
    <row r="14" spans="1:10" ht="26">
      <c r="A14" s="16" t="s">
        <v>462</v>
      </c>
      <c r="B14" s="17" t="s">
        <v>452</v>
      </c>
      <c r="C14" s="17" t="s">
        <v>463</v>
      </c>
      <c r="D14" s="16" t="s">
        <v>79</v>
      </c>
      <c r="E14" s="17" t="s">
        <v>464</v>
      </c>
      <c r="F14" s="17" t="s">
        <v>465</v>
      </c>
      <c r="G14" s="17" t="s">
        <v>466</v>
      </c>
      <c r="H14" s="17"/>
      <c r="I14" s="16"/>
      <c r="J14" s="17"/>
    </row>
    <row r="15" spans="1:10" ht="39">
      <c r="A15" s="14" t="s">
        <v>467</v>
      </c>
      <c r="B15" s="15" t="s">
        <v>468</v>
      </c>
      <c r="C15" s="15" t="s">
        <v>469</v>
      </c>
      <c r="D15" s="14" t="s">
        <v>79</v>
      </c>
      <c r="E15" s="15" t="s">
        <v>470</v>
      </c>
      <c r="F15" s="15" t="s">
        <v>471</v>
      </c>
      <c r="G15" s="15" t="s">
        <v>472</v>
      </c>
      <c r="H15" s="15"/>
      <c r="I15" s="14"/>
      <c r="J15" s="15"/>
    </row>
    <row r="16" spans="1:10" ht="26">
      <c r="A16" s="16" t="s">
        <v>473</v>
      </c>
      <c r="B16" s="17" t="s">
        <v>468</v>
      </c>
      <c r="C16" s="17" t="s">
        <v>474</v>
      </c>
      <c r="D16" s="16" t="s">
        <v>79</v>
      </c>
      <c r="E16" s="17" t="s">
        <v>475</v>
      </c>
      <c r="F16" s="17" t="s">
        <v>476</v>
      </c>
      <c r="G16" s="17" t="s">
        <v>477</v>
      </c>
      <c r="H16" s="17"/>
      <c r="I16" s="16"/>
      <c r="J16" s="17"/>
    </row>
    <row r="17" spans="1:10" ht="26">
      <c r="A17" s="14" t="s">
        <v>478</v>
      </c>
      <c r="B17" s="15" t="s">
        <v>468</v>
      </c>
      <c r="C17" s="15" t="s">
        <v>479</v>
      </c>
      <c r="D17" s="14" t="s">
        <v>79</v>
      </c>
      <c r="E17" s="15" t="s">
        <v>148</v>
      </c>
      <c r="F17" s="15" t="s">
        <v>480</v>
      </c>
      <c r="G17" s="15" t="s">
        <v>481</v>
      </c>
      <c r="H17" s="15"/>
      <c r="I17" s="14"/>
      <c r="J17" s="15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showGridLines="0" workbookViewId="0">
      <pane ySplit="2" topLeftCell="A3" activePane="bottomLeft" state="frozen"/>
      <selection pane="bottomLeft" activeCell="F27" sqref="F27"/>
    </sheetView>
  </sheetViews>
  <sheetFormatPr baseColWidth="10" defaultColWidth="8.83203125" defaultRowHeight="17"/>
  <cols>
    <col min="1" max="1" width="8.5" bestFit="1" customWidth="1"/>
    <col min="2" max="2" width="8" bestFit="1" customWidth="1"/>
    <col min="3" max="3" width="25.83203125" bestFit="1" customWidth="1"/>
    <col min="4" max="4" width="5" bestFit="1" customWidth="1"/>
    <col min="5" max="5" width="27.6640625" bestFit="1" customWidth="1"/>
    <col min="6" max="6" width="43.1640625" bestFit="1" customWidth="1"/>
    <col min="7" max="7" width="33.6640625" bestFit="1" customWidth="1"/>
    <col min="8" max="8" width="8.5" bestFit="1" customWidth="1"/>
    <col min="9" max="10" width="5" bestFit="1" customWidth="1"/>
  </cols>
  <sheetData>
    <row r="1" spans="1:10">
      <c r="A1" s="30" t="s">
        <v>482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65">
      <c r="A3" s="14" t="s">
        <v>483</v>
      </c>
      <c r="B3" s="15" t="s">
        <v>484</v>
      </c>
      <c r="C3" s="15" t="s">
        <v>485</v>
      </c>
      <c r="D3" s="14" t="s">
        <v>79</v>
      </c>
      <c r="E3" s="15" t="s">
        <v>486</v>
      </c>
      <c r="F3" s="15" t="s">
        <v>487</v>
      </c>
      <c r="G3" s="15" t="s">
        <v>488</v>
      </c>
      <c r="H3" s="15"/>
      <c r="I3" s="14"/>
      <c r="J3" s="15"/>
    </row>
    <row r="4" spans="1:10" ht="52">
      <c r="A4" s="16" t="s">
        <v>489</v>
      </c>
      <c r="B4" s="17" t="s">
        <v>484</v>
      </c>
      <c r="C4" s="17" t="s">
        <v>490</v>
      </c>
      <c r="D4" s="16" t="s">
        <v>79</v>
      </c>
      <c r="E4" s="17" t="s">
        <v>491</v>
      </c>
      <c r="F4" s="17" t="s">
        <v>492</v>
      </c>
      <c r="G4" s="17" t="s">
        <v>493</v>
      </c>
      <c r="H4" s="17"/>
      <c r="I4" s="16"/>
      <c r="J4" s="17"/>
    </row>
    <row r="5" spans="1:10" ht="52">
      <c r="A5" s="14" t="s">
        <v>494</v>
      </c>
      <c r="B5" s="15" t="s">
        <v>484</v>
      </c>
      <c r="C5" s="15" t="s">
        <v>495</v>
      </c>
      <c r="D5" s="14" t="s">
        <v>79</v>
      </c>
      <c r="E5" s="15" t="s">
        <v>496</v>
      </c>
      <c r="F5" s="15" t="s">
        <v>497</v>
      </c>
      <c r="G5" s="15" t="s">
        <v>498</v>
      </c>
      <c r="H5" s="15"/>
      <c r="I5" s="14"/>
      <c r="J5" s="15"/>
    </row>
    <row r="6" spans="1:10" ht="39">
      <c r="A6" s="16" t="s">
        <v>499</v>
      </c>
      <c r="B6" s="17" t="s">
        <v>484</v>
      </c>
      <c r="C6" s="17" t="s">
        <v>500</v>
      </c>
      <c r="D6" s="16" t="s">
        <v>79</v>
      </c>
      <c r="E6" s="17" t="s">
        <v>501</v>
      </c>
      <c r="F6" s="17" t="s">
        <v>502</v>
      </c>
      <c r="G6" s="17" t="s">
        <v>503</v>
      </c>
      <c r="H6" s="17"/>
      <c r="I6" s="16"/>
      <c r="J6" s="17"/>
    </row>
    <row r="7" spans="1:10" ht="39">
      <c r="A7" s="14" t="s">
        <v>504</v>
      </c>
      <c r="B7" s="15" t="s">
        <v>484</v>
      </c>
      <c r="C7" s="15" t="s">
        <v>505</v>
      </c>
      <c r="D7" s="14" t="s">
        <v>165</v>
      </c>
      <c r="E7" s="15" t="s">
        <v>506</v>
      </c>
      <c r="F7" s="15" t="s">
        <v>507</v>
      </c>
      <c r="G7" s="15" t="s">
        <v>508</v>
      </c>
      <c r="H7" s="15"/>
      <c r="I7" s="14"/>
      <c r="J7" s="15"/>
    </row>
    <row r="8" spans="1:10" ht="26">
      <c r="A8" s="16" t="s">
        <v>509</v>
      </c>
      <c r="B8" s="17" t="s">
        <v>484</v>
      </c>
      <c r="C8" s="17" t="s">
        <v>510</v>
      </c>
      <c r="D8" s="16" t="s">
        <v>79</v>
      </c>
      <c r="E8" s="17" t="s">
        <v>501</v>
      </c>
      <c r="F8" s="17" t="s">
        <v>511</v>
      </c>
      <c r="G8" s="17" t="s">
        <v>512</v>
      </c>
      <c r="H8" s="17"/>
      <c r="I8" s="16"/>
      <c r="J8" s="17"/>
    </row>
    <row r="9" spans="1:10" ht="39">
      <c r="A9" s="14" t="s">
        <v>513</v>
      </c>
      <c r="B9" s="15" t="s">
        <v>484</v>
      </c>
      <c r="C9" s="15" t="s">
        <v>514</v>
      </c>
      <c r="D9" s="14" t="s">
        <v>79</v>
      </c>
      <c r="E9" s="15" t="s">
        <v>515</v>
      </c>
      <c r="F9" s="15" t="s">
        <v>516</v>
      </c>
      <c r="G9" s="15" t="s">
        <v>517</v>
      </c>
      <c r="H9" s="15"/>
      <c r="I9" s="14"/>
      <c r="J9" s="15"/>
    </row>
    <row r="10" spans="1:10" ht="39">
      <c r="A10" s="16" t="s">
        <v>518</v>
      </c>
      <c r="B10" s="17" t="s">
        <v>484</v>
      </c>
      <c r="C10" s="17" t="s">
        <v>519</v>
      </c>
      <c r="D10" s="16" t="s">
        <v>79</v>
      </c>
      <c r="E10" s="17" t="s">
        <v>520</v>
      </c>
      <c r="F10" s="17" t="s">
        <v>521</v>
      </c>
      <c r="G10" s="17" t="s">
        <v>522</v>
      </c>
      <c r="H10" s="17"/>
      <c r="I10" s="16"/>
      <c r="J10" s="17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showGridLines="0" workbookViewId="0">
      <pane ySplit="2" topLeftCell="A3" activePane="bottomLeft" state="frozen"/>
      <selection pane="bottomLeft" activeCell="G31" sqref="G31"/>
    </sheetView>
  </sheetViews>
  <sheetFormatPr baseColWidth="10" defaultColWidth="8.83203125" defaultRowHeight="17"/>
  <cols>
    <col min="1" max="1" width="8.33203125" bestFit="1" customWidth="1"/>
    <col min="2" max="2" width="8" bestFit="1" customWidth="1"/>
    <col min="3" max="3" width="25.6640625" bestFit="1" customWidth="1"/>
    <col min="4" max="4" width="5" bestFit="1" customWidth="1"/>
    <col min="5" max="5" width="28" customWidth="1"/>
    <col min="6" max="6" width="40.5" bestFit="1" customWidth="1"/>
    <col min="7" max="7" width="33.6640625" bestFit="1" customWidth="1"/>
    <col min="8" max="8" width="8.5" bestFit="1" customWidth="1"/>
    <col min="9" max="9" width="5" bestFit="1" customWidth="1"/>
    <col min="10" max="10" width="17.6640625" bestFit="1" customWidth="1"/>
  </cols>
  <sheetData>
    <row r="1" spans="1:10">
      <c r="A1" s="26" t="s">
        <v>523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39">
      <c r="A3" s="14" t="s">
        <v>524</v>
      </c>
      <c r="B3" s="15" t="s">
        <v>525</v>
      </c>
      <c r="C3" s="15" t="s">
        <v>526</v>
      </c>
      <c r="D3" s="14" t="s">
        <v>79</v>
      </c>
      <c r="E3" s="15" t="s">
        <v>527</v>
      </c>
      <c r="F3" s="15" t="s">
        <v>528</v>
      </c>
      <c r="G3" s="15" t="s">
        <v>529</v>
      </c>
      <c r="H3" s="15"/>
      <c r="I3" s="14"/>
      <c r="J3" s="15"/>
    </row>
    <row r="4" spans="1:10" ht="26">
      <c r="A4" s="16" t="s">
        <v>530</v>
      </c>
      <c r="B4" s="17" t="s">
        <v>525</v>
      </c>
      <c r="C4" s="17" t="s">
        <v>531</v>
      </c>
      <c r="D4" s="16" t="s">
        <v>79</v>
      </c>
      <c r="E4" s="17" t="s">
        <v>532</v>
      </c>
      <c r="F4" s="17" t="s">
        <v>533</v>
      </c>
      <c r="G4" s="17" t="s">
        <v>534</v>
      </c>
      <c r="H4" s="17"/>
      <c r="I4" s="16"/>
      <c r="J4" s="17"/>
    </row>
    <row r="5" spans="1:10" ht="39">
      <c r="A5" s="14" t="s">
        <v>535</v>
      </c>
      <c r="B5" s="15" t="s">
        <v>525</v>
      </c>
      <c r="C5" s="15" t="s">
        <v>536</v>
      </c>
      <c r="D5" s="14" t="s">
        <v>79</v>
      </c>
      <c r="E5" s="15" t="s">
        <v>537</v>
      </c>
      <c r="F5" s="15" t="s">
        <v>538</v>
      </c>
      <c r="G5" s="15" t="s">
        <v>539</v>
      </c>
      <c r="H5" s="15"/>
      <c r="I5" s="14"/>
      <c r="J5" s="15"/>
    </row>
    <row r="6" spans="1:10" ht="26">
      <c r="A6" s="16" t="s">
        <v>540</v>
      </c>
      <c r="B6" s="17" t="s">
        <v>525</v>
      </c>
      <c r="C6" s="17" t="s">
        <v>541</v>
      </c>
      <c r="D6" s="16" t="s">
        <v>79</v>
      </c>
      <c r="E6" s="17" t="s">
        <v>542</v>
      </c>
      <c r="F6" s="17" t="s">
        <v>543</v>
      </c>
      <c r="G6" s="17" t="s">
        <v>544</v>
      </c>
      <c r="H6" s="17"/>
      <c r="I6" s="16"/>
      <c r="J6" s="17"/>
    </row>
    <row r="7" spans="1:10" ht="52">
      <c r="A7" s="14" t="s">
        <v>545</v>
      </c>
      <c r="B7" s="15" t="s">
        <v>525</v>
      </c>
      <c r="C7" s="15" t="s">
        <v>546</v>
      </c>
      <c r="D7" s="14" t="s">
        <v>79</v>
      </c>
      <c r="E7" s="15" t="s">
        <v>547</v>
      </c>
      <c r="F7" s="15" t="s">
        <v>548</v>
      </c>
      <c r="G7" s="15" t="s">
        <v>549</v>
      </c>
      <c r="H7" s="15"/>
      <c r="I7" s="14"/>
      <c r="J7" s="15"/>
    </row>
    <row r="8" spans="1:10" ht="52">
      <c r="A8" s="16" t="s">
        <v>550</v>
      </c>
      <c r="B8" s="17" t="s">
        <v>525</v>
      </c>
      <c r="C8" s="17" t="s">
        <v>551</v>
      </c>
      <c r="D8" s="16" t="s">
        <v>79</v>
      </c>
      <c r="E8" s="17" t="s">
        <v>552</v>
      </c>
      <c r="F8" s="17" t="s">
        <v>553</v>
      </c>
      <c r="G8" s="17" t="s">
        <v>554</v>
      </c>
      <c r="H8" s="17"/>
      <c r="I8" s="16"/>
      <c r="J8" s="17" t="s">
        <v>555</v>
      </c>
    </row>
    <row r="9" spans="1:10" ht="39">
      <c r="A9" s="14" t="s">
        <v>556</v>
      </c>
      <c r="B9" s="15" t="s">
        <v>525</v>
      </c>
      <c r="C9" s="15" t="s">
        <v>557</v>
      </c>
      <c r="D9" s="14" t="s">
        <v>79</v>
      </c>
      <c r="E9" s="15" t="s">
        <v>558</v>
      </c>
      <c r="F9" s="15" t="s">
        <v>559</v>
      </c>
      <c r="G9" s="15" t="s">
        <v>560</v>
      </c>
      <c r="H9" s="15"/>
      <c r="I9" s="14"/>
      <c r="J9" s="15"/>
    </row>
    <row r="10" spans="1:10" ht="52">
      <c r="A10" s="16" t="s">
        <v>561</v>
      </c>
      <c r="B10" s="17" t="s">
        <v>525</v>
      </c>
      <c r="C10" s="17" t="s">
        <v>562</v>
      </c>
      <c r="D10" s="16" t="s">
        <v>79</v>
      </c>
      <c r="E10" s="17" t="s">
        <v>563</v>
      </c>
      <c r="F10" s="17" t="s">
        <v>564</v>
      </c>
      <c r="G10" s="17" t="s">
        <v>565</v>
      </c>
      <c r="H10" s="17"/>
      <c r="I10" s="16"/>
      <c r="J10" s="17" t="s">
        <v>566</v>
      </c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showGridLines="0" workbookViewId="0">
      <pane ySplit="2" topLeftCell="A3" activePane="bottomLeft" state="frozen"/>
      <selection pane="bottomLeft" activeCell="K39" sqref="K39"/>
    </sheetView>
  </sheetViews>
  <sheetFormatPr baseColWidth="10" defaultColWidth="8.83203125" defaultRowHeight="17"/>
  <cols>
    <col min="1" max="1" width="8.6640625" bestFit="1" customWidth="1"/>
    <col min="2" max="2" width="8" bestFit="1" customWidth="1"/>
    <col min="3" max="3" width="31.33203125" bestFit="1" customWidth="1"/>
    <col min="4" max="4" width="8.5" bestFit="1" customWidth="1"/>
    <col min="5" max="5" width="28" customWidth="1"/>
    <col min="6" max="6" width="43.33203125" bestFit="1" customWidth="1"/>
    <col min="7" max="7" width="39.33203125" bestFit="1" customWidth="1"/>
    <col min="8" max="8" width="8.5" bestFit="1" customWidth="1"/>
    <col min="9" max="9" width="5" bestFit="1" customWidth="1"/>
    <col min="10" max="10" width="17" bestFit="1" customWidth="1"/>
  </cols>
  <sheetData>
    <row r="1" spans="1:10">
      <c r="A1" s="32" t="s">
        <v>567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39">
      <c r="A3" s="14" t="s">
        <v>568</v>
      </c>
      <c r="B3" s="15" t="s">
        <v>569</v>
      </c>
      <c r="C3" s="15" t="s">
        <v>570</v>
      </c>
      <c r="D3" s="14" t="s">
        <v>79</v>
      </c>
      <c r="E3" s="15" t="s">
        <v>571</v>
      </c>
      <c r="F3" s="15" t="s">
        <v>572</v>
      </c>
      <c r="G3" s="15" t="s">
        <v>573</v>
      </c>
      <c r="H3" s="15"/>
      <c r="I3" s="14"/>
      <c r="J3" s="15"/>
    </row>
    <row r="4" spans="1:10" ht="52">
      <c r="A4" s="16" t="s">
        <v>574</v>
      </c>
      <c r="B4" s="17" t="s">
        <v>569</v>
      </c>
      <c r="C4" s="17" t="s">
        <v>575</v>
      </c>
      <c r="D4" s="16" t="s">
        <v>79</v>
      </c>
      <c r="E4" s="17" t="s">
        <v>576</v>
      </c>
      <c r="F4" s="17" t="s">
        <v>577</v>
      </c>
      <c r="G4" s="17" t="s">
        <v>578</v>
      </c>
      <c r="H4" s="17"/>
      <c r="I4" s="16"/>
      <c r="J4" s="17"/>
    </row>
    <row r="5" spans="1:10" ht="26">
      <c r="A5" s="14" t="s">
        <v>579</v>
      </c>
      <c r="B5" s="15" t="s">
        <v>569</v>
      </c>
      <c r="C5" s="15" t="s">
        <v>580</v>
      </c>
      <c r="D5" s="14" t="s">
        <v>79</v>
      </c>
      <c r="E5" s="15" t="s">
        <v>581</v>
      </c>
      <c r="F5" s="15" t="s">
        <v>582</v>
      </c>
      <c r="G5" s="15" t="s">
        <v>583</v>
      </c>
      <c r="H5" s="15"/>
      <c r="I5" s="14"/>
      <c r="J5" s="15"/>
    </row>
    <row r="6" spans="1:10" ht="26">
      <c r="A6" s="16" t="s">
        <v>584</v>
      </c>
      <c r="B6" s="17" t="s">
        <v>569</v>
      </c>
      <c r="C6" s="17" t="s">
        <v>585</v>
      </c>
      <c r="D6" s="16" t="s">
        <v>79</v>
      </c>
      <c r="E6" s="17" t="s">
        <v>253</v>
      </c>
      <c r="F6" s="17" t="s">
        <v>586</v>
      </c>
      <c r="G6" s="17" t="s">
        <v>587</v>
      </c>
      <c r="H6" s="17"/>
      <c r="I6" s="16"/>
      <c r="J6" s="17"/>
    </row>
    <row r="7" spans="1:10" ht="39">
      <c r="A7" s="14" t="s">
        <v>588</v>
      </c>
      <c r="B7" s="15" t="s">
        <v>589</v>
      </c>
      <c r="C7" s="15" t="s">
        <v>590</v>
      </c>
      <c r="D7" s="14" t="s">
        <v>79</v>
      </c>
      <c r="E7" s="15" t="s">
        <v>591</v>
      </c>
      <c r="F7" s="15" t="s">
        <v>592</v>
      </c>
      <c r="G7" s="15" t="s">
        <v>593</v>
      </c>
      <c r="H7" s="15"/>
      <c r="I7" s="14"/>
      <c r="J7" s="15"/>
    </row>
    <row r="8" spans="1:10" ht="52">
      <c r="A8" s="16" t="s">
        <v>594</v>
      </c>
      <c r="B8" s="17" t="s">
        <v>589</v>
      </c>
      <c r="C8" s="17" t="s">
        <v>595</v>
      </c>
      <c r="D8" s="16" t="s">
        <v>397</v>
      </c>
      <c r="E8" s="17" t="s">
        <v>596</v>
      </c>
      <c r="F8" s="17" t="s">
        <v>597</v>
      </c>
      <c r="G8" s="17" t="s">
        <v>598</v>
      </c>
      <c r="H8" s="17"/>
      <c r="I8" s="16"/>
      <c r="J8" s="17" t="s">
        <v>599</v>
      </c>
    </row>
    <row r="9" spans="1:10" ht="39">
      <c r="A9" s="14" t="s">
        <v>600</v>
      </c>
      <c r="B9" s="15" t="s">
        <v>589</v>
      </c>
      <c r="C9" s="15" t="s">
        <v>601</v>
      </c>
      <c r="D9" s="14" t="s">
        <v>79</v>
      </c>
      <c r="E9" s="15" t="s">
        <v>602</v>
      </c>
      <c r="F9" s="15" t="s">
        <v>603</v>
      </c>
      <c r="G9" s="15" t="s">
        <v>604</v>
      </c>
      <c r="H9" s="15"/>
      <c r="I9" s="14"/>
      <c r="J9" s="15"/>
    </row>
    <row r="10" spans="1:10" ht="26">
      <c r="A10" s="16" t="s">
        <v>605</v>
      </c>
      <c r="B10" s="17" t="s">
        <v>589</v>
      </c>
      <c r="C10" s="17" t="s">
        <v>606</v>
      </c>
      <c r="D10" s="16" t="s">
        <v>79</v>
      </c>
      <c r="E10" s="17" t="s">
        <v>607</v>
      </c>
      <c r="F10" s="17" t="s">
        <v>608</v>
      </c>
      <c r="G10" s="17" t="s">
        <v>609</v>
      </c>
      <c r="H10" s="17"/>
      <c r="I10" s="16"/>
      <c r="J10" s="17"/>
    </row>
    <row r="11" spans="1:10" ht="39">
      <c r="A11" s="14" t="s">
        <v>610</v>
      </c>
      <c r="B11" s="15" t="s">
        <v>569</v>
      </c>
      <c r="C11" s="15" t="s">
        <v>611</v>
      </c>
      <c r="D11" s="14" t="s">
        <v>79</v>
      </c>
      <c r="E11" s="15" t="s">
        <v>612</v>
      </c>
      <c r="F11" s="15" t="s">
        <v>613</v>
      </c>
      <c r="G11" s="15" t="s">
        <v>614</v>
      </c>
      <c r="H11" s="15"/>
      <c r="I11" s="14"/>
      <c r="J11" s="15"/>
    </row>
    <row r="12" spans="1:10" ht="39">
      <c r="A12" s="16" t="s">
        <v>615</v>
      </c>
      <c r="B12" s="17" t="s">
        <v>569</v>
      </c>
      <c r="C12" s="17" t="s">
        <v>616</v>
      </c>
      <c r="D12" s="16" t="s">
        <v>79</v>
      </c>
      <c r="E12" s="17" t="s">
        <v>617</v>
      </c>
      <c r="F12" s="17" t="s">
        <v>618</v>
      </c>
      <c r="G12" s="17" t="s">
        <v>619</v>
      </c>
      <c r="H12" s="17"/>
      <c r="I12" s="16"/>
      <c r="J12" s="17"/>
    </row>
  </sheetData>
  <mergeCells count="1">
    <mergeCell ref="A1:J1"/>
  </mergeCells>
  <phoneticPr fontId="1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"/>
  <sheetViews>
    <sheetView showGridLines="0" tabSelected="1" workbookViewId="0">
      <pane ySplit="2" topLeftCell="A3" activePane="bottomLeft" state="frozen"/>
      <selection pane="bottomLeft" activeCell="F24" sqref="F24"/>
    </sheetView>
  </sheetViews>
  <sheetFormatPr baseColWidth="10" defaultColWidth="8.83203125" defaultRowHeight="17"/>
  <cols>
    <col min="1" max="1" width="8.6640625" bestFit="1" customWidth="1"/>
    <col min="2" max="2" width="6.5" bestFit="1" customWidth="1"/>
    <col min="3" max="3" width="25.83203125" bestFit="1" customWidth="1"/>
    <col min="4" max="4" width="5" bestFit="1" customWidth="1"/>
    <col min="5" max="5" width="24.5" bestFit="1" customWidth="1"/>
    <col min="6" max="6" width="36.1640625" bestFit="1" customWidth="1"/>
    <col min="7" max="7" width="34" customWidth="1"/>
    <col min="8" max="8" width="8.5" bestFit="1" customWidth="1"/>
    <col min="9" max="9" width="5" bestFit="1" customWidth="1"/>
    <col min="10" max="10" width="17" bestFit="1" customWidth="1"/>
  </cols>
  <sheetData>
    <row r="1" spans="1:10">
      <c r="A1" s="33" t="s">
        <v>620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3" t="s">
        <v>68</v>
      </c>
      <c r="B2" s="13" t="s">
        <v>69</v>
      </c>
      <c r="C2" s="13" t="s">
        <v>70</v>
      </c>
      <c r="D2" s="13" t="s">
        <v>14</v>
      </c>
      <c r="E2" s="13" t="s">
        <v>71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</row>
    <row r="3" spans="1:10" ht="52">
      <c r="A3" s="14" t="s">
        <v>621</v>
      </c>
      <c r="B3" s="15" t="s">
        <v>622</v>
      </c>
      <c r="C3" s="15" t="s">
        <v>623</v>
      </c>
      <c r="D3" s="14" t="s">
        <v>79</v>
      </c>
      <c r="E3" s="15" t="s">
        <v>624</v>
      </c>
      <c r="F3" s="15" t="s">
        <v>625</v>
      </c>
      <c r="G3" s="15" t="s">
        <v>626</v>
      </c>
      <c r="H3" s="15"/>
      <c r="I3" s="14"/>
      <c r="J3" s="15"/>
    </row>
    <row r="4" spans="1:10" ht="39">
      <c r="A4" s="16" t="s">
        <v>627</v>
      </c>
      <c r="B4" s="17" t="s">
        <v>622</v>
      </c>
      <c r="C4" s="17" t="s">
        <v>628</v>
      </c>
      <c r="D4" s="16" t="s">
        <v>79</v>
      </c>
      <c r="E4" s="17" t="s">
        <v>629</v>
      </c>
      <c r="F4" s="17" t="s">
        <v>630</v>
      </c>
      <c r="G4" s="17" t="s">
        <v>631</v>
      </c>
      <c r="H4" s="17"/>
      <c r="I4" s="16"/>
      <c r="J4" s="17"/>
    </row>
    <row r="5" spans="1:10" ht="39">
      <c r="A5" s="14" t="s">
        <v>632</v>
      </c>
      <c r="B5" s="15" t="s">
        <v>622</v>
      </c>
      <c r="C5" s="15" t="s">
        <v>633</v>
      </c>
      <c r="D5" s="14" t="s">
        <v>79</v>
      </c>
      <c r="E5" s="15" t="s">
        <v>634</v>
      </c>
      <c r="F5" s="15" t="s">
        <v>635</v>
      </c>
      <c r="G5" s="15" t="s">
        <v>636</v>
      </c>
      <c r="H5" s="15"/>
      <c r="I5" s="14"/>
      <c r="J5" s="15" t="s">
        <v>637</v>
      </c>
    </row>
    <row r="6" spans="1:10" ht="78">
      <c r="A6" s="16" t="s">
        <v>638</v>
      </c>
      <c r="B6" s="17" t="s">
        <v>622</v>
      </c>
      <c r="C6" s="17" t="s">
        <v>639</v>
      </c>
      <c r="D6" s="16" t="s">
        <v>79</v>
      </c>
      <c r="E6" s="17" t="s">
        <v>640</v>
      </c>
      <c r="F6" s="17" t="s">
        <v>641</v>
      </c>
      <c r="G6" s="17" t="s">
        <v>642</v>
      </c>
      <c r="H6" s="17"/>
      <c r="I6" s="16"/>
      <c r="J6" s="17"/>
    </row>
    <row r="7" spans="1:10" ht="39">
      <c r="A7" s="14" t="s">
        <v>643</v>
      </c>
      <c r="B7" s="15" t="s">
        <v>622</v>
      </c>
      <c r="C7" s="15" t="s">
        <v>644</v>
      </c>
      <c r="D7" s="14" t="s">
        <v>79</v>
      </c>
      <c r="E7" s="15" t="s">
        <v>645</v>
      </c>
      <c r="F7" s="15" t="s">
        <v>646</v>
      </c>
      <c r="G7" s="15" t="s">
        <v>647</v>
      </c>
      <c r="H7" s="15"/>
      <c r="I7" s="14"/>
      <c r="J7" s="15"/>
    </row>
    <row r="8" spans="1:10" ht="39">
      <c r="A8" s="16" t="s">
        <v>648</v>
      </c>
      <c r="B8" s="17" t="s">
        <v>622</v>
      </c>
      <c r="C8" s="17" t="s">
        <v>649</v>
      </c>
      <c r="D8" s="16" t="s">
        <v>79</v>
      </c>
      <c r="E8" s="17" t="s">
        <v>650</v>
      </c>
      <c r="F8" s="17" t="s">
        <v>651</v>
      </c>
      <c r="G8" s="17" t="s">
        <v>652</v>
      </c>
      <c r="H8" s="17"/>
      <c r="I8" s="16"/>
      <c r="J8" s="17"/>
    </row>
    <row r="9" spans="1:10" ht="26">
      <c r="A9" s="14" t="s">
        <v>653</v>
      </c>
      <c r="B9" s="15" t="s">
        <v>622</v>
      </c>
      <c r="C9" s="15" t="s">
        <v>654</v>
      </c>
      <c r="D9" s="14" t="s">
        <v>79</v>
      </c>
      <c r="E9" s="15" t="s">
        <v>634</v>
      </c>
      <c r="F9" s="15" t="s">
        <v>655</v>
      </c>
      <c r="G9" s="15" t="s">
        <v>656</v>
      </c>
      <c r="H9" s="15"/>
      <c r="I9" s="14"/>
      <c r="J9" s="15"/>
    </row>
    <row r="10" spans="1:10" ht="39">
      <c r="A10" s="16" t="s">
        <v>657</v>
      </c>
      <c r="B10" s="17" t="s">
        <v>622</v>
      </c>
      <c r="C10" s="17" t="s">
        <v>658</v>
      </c>
      <c r="D10" s="16" t="s">
        <v>79</v>
      </c>
      <c r="E10" s="17" t="s">
        <v>659</v>
      </c>
      <c r="F10" s="17" t="s">
        <v>660</v>
      </c>
      <c r="G10" s="17" t="s">
        <v>661</v>
      </c>
      <c r="H10" s="17"/>
      <c r="I10" s="16"/>
      <c r="J10" s="17"/>
    </row>
  </sheetData>
  <mergeCells count="1">
    <mergeCell ref="A1:J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📋 테스트 개요</vt:lpstr>
      <vt:lpstr>📊 결과 요약</vt:lpstr>
      <vt:lpstr>📦 Phase1_상품등록</vt:lpstr>
      <vt:lpstr>🛒 Phase2_매장발주</vt:lpstr>
      <vt:lpstr>🔍 Phase3_발주확인</vt:lpstr>
      <vt:lpstr>⚠️ 예외오류케이스</vt:lpstr>
      <vt:lpstr>👤 UX 체크리스트</vt:lpstr>
      <vt:lpstr>📥 일괄등록·삭제·상태변경</vt:lpstr>
      <vt:lpstr>💴 가격관리·브랜드별차등</vt:lpstr>
      <vt:lpstr>📦 매장별재고확인</vt:lpstr>
      <vt:lpstr>🚚 발주확인·발송처리·알림</vt:lpstr>
      <vt:lpstr>📅 월마감·매입관리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EUNSEONG KIM</cp:lastModifiedBy>
  <dcterms:created xsi:type="dcterms:W3CDTF">2026-04-27T02:45:44Z</dcterms:created>
  <dcterms:modified xsi:type="dcterms:W3CDTF">2026-04-27T04:08:11Z</dcterms:modified>
</cp:coreProperties>
</file>